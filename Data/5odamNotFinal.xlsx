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DB34E8CB-8FCB-41C5-AE76-4AFE213DC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33" i="1"/>
  <c r="H2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</calcChain>
</file>

<file path=xl/sharedStrings.xml><?xml version="1.0" encoding="utf-8"?>
<sst xmlns="http://schemas.openxmlformats.org/spreadsheetml/2006/main" count="707" uniqueCount="349">
  <si>
    <t>سنة الميلاد</t>
  </si>
  <si>
    <t xml:space="preserve">تاريخ التخرج من مدرسة الشمامسة </t>
  </si>
  <si>
    <t xml:space="preserve">جرجس ميلاد لويس نسيم </t>
  </si>
  <si>
    <t>01220060883</t>
  </si>
  <si>
    <t>7ش صقر قريش من المدينة المنورة تلاتيني</t>
  </si>
  <si>
    <t>2017 - 2018</t>
  </si>
  <si>
    <t>ابونا يشوع وجيه - العدرا الدميشرية</t>
  </si>
  <si>
    <t>ادم ميخائيل سيد فريز</t>
  </si>
  <si>
    <t>01205764152</t>
  </si>
  <si>
    <t>شارع عمار بن ياسر متفرع من شارع مستشفى الصدر</t>
  </si>
  <si>
    <t xml:space="preserve">ابونا ابامون </t>
  </si>
  <si>
    <t>فريد فايز فريد كامل</t>
  </si>
  <si>
    <t>01276644631</t>
  </si>
  <si>
    <t>51 ش عبد اللطيف - عثمان محرم - طالبية - هرم</t>
  </si>
  <si>
    <t>أ / دانيال</t>
  </si>
  <si>
    <t>ماركو جرجس عياد غبريال</t>
  </si>
  <si>
    <t>01277804172</t>
  </si>
  <si>
    <t xml:space="preserve">11ش الليثي متفرع من شارع المدينة المنورة - الثلاثيني - عمرانيه غربية </t>
  </si>
  <si>
    <t>ابونا يشوع</t>
  </si>
  <si>
    <t xml:space="preserve">مريم فهمى حنا فهيم </t>
  </si>
  <si>
    <t>01211141564</t>
  </si>
  <si>
    <t>22ش محمود عبد العال- الزهراء -عمرانية</t>
  </si>
  <si>
    <t>2019/2018</t>
  </si>
  <si>
    <t>ا/ دانيال</t>
  </si>
  <si>
    <t>مرقوريوس عماد ناروز بولس</t>
  </si>
  <si>
    <t>01271485093</t>
  </si>
  <si>
    <t xml:space="preserve">25ش ابو العلا العمرانية </t>
  </si>
  <si>
    <t>ابونا هابيل الانبا بيشوي</t>
  </si>
  <si>
    <t xml:space="preserve">مينا صبحى كمال متى </t>
  </si>
  <si>
    <t>01286002818</t>
  </si>
  <si>
    <t>٥٤شارع المستشار الروبى متفرع من شارع سعد امام العروبة</t>
  </si>
  <si>
    <t>١٩٩٠</t>
  </si>
  <si>
    <t>مش فاكر بس من زكان</t>
  </si>
  <si>
    <t xml:space="preserve">مش فاكر من زمان </t>
  </si>
  <si>
    <t xml:space="preserve">ابونا سوريال كامل </t>
  </si>
  <si>
    <t>اباكير سامى مترى بحبوح</t>
  </si>
  <si>
    <t>01278920302</t>
  </si>
  <si>
    <t>١٥ش صقر قريش - المدينه المنورة - ثلاثيني - عمرانية غربية - جيزة</t>
  </si>
  <si>
    <t>ابونا يشوع وجيه</t>
  </si>
  <si>
    <t>ميخائيل جرجس شكرى يسى</t>
  </si>
  <si>
    <t>01270159797</t>
  </si>
  <si>
    <t xml:space="preserve">13 شارع أولاد سمعان </t>
  </si>
  <si>
    <t>28/6/2006</t>
  </si>
  <si>
    <t>ابونا فيلوثاؤس</t>
  </si>
  <si>
    <t>جرجس فوزي شهدي جرجس</t>
  </si>
  <si>
    <t>01129312540</t>
  </si>
  <si>
    <t xml:space="preserve">8 شارع فرج الله مستشفي الصدر </t>
  </si>
  <si>
    <t>ابونا ابامون</t>
  </si>
  <si>
    <t xml:space="preserve">مينا عماد عياد رياض </t>
  </si>
  <si>
    <t>01288530824</t>
  </si>
  <si>
    <t>56ش عبداللطيف-مجمع المدارس</t>
  </si>
  <si>
    <t>ابونا شنوده (مصر القديمة)</t>
  </si>
  <si>
    <t>جون زكريا جبره عيسى</t>
  </si>
  <si>
    <t>01032729339</t>
  </si>
  <si>
    <t>٦٥ ش محمود حسين الحلواني- عمرانية غربية - جيزه</t>
  </si>
  <si>
    <t>ابونا افرام</t>
  </si>
  <si>
    <t xml:space="preserve">يوساب وليد وليم عبدالله </t>
  </si>
  <si>
    <t>01226874016</t>
  </si>
  <si>
    <t>٣ شارع نور الدين مستشفي الصدر</t>
  </si>
  <si>
    <t>تقريبا ٢٠١٦</t>
  </si>
  <si>
    <t>5/10/2025</t>
  </si>
  <si>
    <t xml:space="preserve">ابونا افرام </t>
  </si>
  <si>
    <t>كيرلس ابراهيم عشم ملك</t>
  </si>
  <si>
    <t>01225467572</t>
  </si>
  <si>
    <t>٣٧ ش محمد عبد الموجود - ش الدكتور - عمرانية</t>
  </si>
  <si>
    <t>ابونا ونس كمال</t>
  </si>
  <si>
    <t>بيشوي ثروت صدقي درياس</t>
  </si>
  <si>
    <t>01278901073</t>
  </si>
  <si>
    <t>108شارع عبد الغني حسن متفرع من التلاتيني عمرانيه غريبه</t>
  </si>
  <si>
    <t>من وانا ف اعدادي داخل وانا اولي اعدادي بس تاريخ مش فاكر</t>
  </si>
  <si>
    <t>من سنتين ٣ كده</t>
  </si>
  <si>
    <t>ابونا شاروبيم كنيسه القديسه دميانه</t>
  </si>
  <si>
    <t xml:space="preserve">هبه عيد بسخيرون زكي </t>
  </si>
  <si>
    <t>01283211808</t>
  </si>
  <si>
    <t xml:space="preserve">شارع عبد الغني حسن_الزهور _الطالبيه </t>
  </si>
  <si>
    <t>ابونا ابرام</t>
  </si>
  <si>
    <t>ماركو جابر خليل برسوم</t>
  </si>
  <si>
    <t>01226805761</t>
  </si>
  <si>
    <t>26 ش ابناء سوهاج عمرانية غربية</t>
  </si>
  <si>
    <t xml:space="preserve">ابونا صموئيل </t>
  </si>
  <si>
    <t>اسرة البابا كيرلس عمود الدين</t>
  </si>
  <si>
    <t>ساره عماد عياد رياض</t>
  </si>
  <si>
    <t>01270449900</t>
  </si>
  <si>
    <t>٥٦ش عبد اللطيف مجمع المدارس</t>
  </si>
  <si>
    <t xml:space="preserve">مراد عصام مراد نوار </t>
  </si>
  <si>
    <t>01200425809</t>
  </si>
  <si>
    <t xml:space="preserve">49 شارع سيد عويس امام مجمع المدارس </t>
  </si>
  <si>
    <t>2006/6/1</t>
  </si>
  <si>
    <t>2015 تقريبا</t>
  </si>
  <si>
    <t xml:space="preserve">چوليا بولس لبيب ساويرس </t>
  </si>
  <si>
    <t>01212273165</t>
  </si>
  <si>
    <t xml:space="preserve">39 برج البترول شارع قسم العمرانية أمام خزان المياه </t>
  </si>
  <si>
    <t xml:space="preserve">ابونا صامويل </t>
  </si>
  <si>
    <t>فيلوباتير كامل جاد</t>
  </si>
  <si>
    <t>01210573404</t>
  </si>
  <si>
    <t xml:space="preserve">٢ش الحسن من عدوى سليم عمرانية غربية </t>
  </si>
  <si>
    <t xml:space="preserve">ندي روميل داود بطرس </t>
  </si>
  <si>
    <t>٠١٢٧٥٧٤٢٦٩٧</t>
  </si>
  <si>
    <t xml:space="preserve">١٨ شارع عبد الرحمن السني زهراء </t>
  </si>
  <si>
    <t>٢٠٠٤</t>
  </si>
  <si>
    <t xml:space="preserve">من ١١ سنه </t>
  </si>
  <si>
    <t>٢٠٢٦</t>
  </si>
  <si>
    <t xml:space="preserve">توماس بولا جرجس يوسف </t>
  </si>
  <si>
    <t>01274293400</t>
  </si>
  <si>
    <t xml:space="preserve">31ش السعادة -مجمع المدراس - سنترال العمرانية </t>
  </si>
  <si>
    <t>بشوي ملاك ونيس سلوانيس</t>
  </si>
  <si>
    <t>01281180105</t>
  </si>
  <si>
    <t xml:space="preserve">38 ش محمود حسين الحلواني من مجمع المدارس </t>
  </si>
  <si>
    <t xml:space="preserve">ابونا اباهور </t>
  </si>
  <si>
    <t xml:space="preserve">كيرلس هلال جريس سلامه </t>
  </si>
  <si>
    <t>01210361751</t>
  </si>
  <si>
    <t xml:space="preserve">2 شارع احمد عبيد مستشفي الصدر عمرانيه غربيه </t>
  </si>
  <si>
    <t xml:space="preserve">ابونا يشوف </t>
  </si>
  <si>
    <t>بيتر فوزى حبيب حنا</t>
  </si>
  <si>
    <t>01273648432</t>
  </si>
  <si>
    <t>العمرانية الشرقية</t>
  </si>
  <si>
    <t>Na</t>
  </si>
  <si>
    <t>مارتينا عزمي عبيد عزمي</t>
  </si>
  <si>
    <t>01207594385</t>
  </si>
  <si>
    <t>4 ش عبدالرحمن سلامه - تلاتيني</t>
  </si>
  <si>
    <t>ابونا بوعز</t>
  </si>
  <si>
    <t xml:space="preserve">كيرلس وجيه بباوي ميخائيل </t>
  </si>
  <si>
    <t>01289565172</t>
  </si>
  <si>
    <t>21 ش بنها - خلف اكاديمية الفنون - العمرانية</t>
  </si>
  <si>
    <t>ابونا ابرام نصر</t>
  </si>
  <si>
    <t>ديفيد سامح مكسويل</t>
  </si>
  <si>
    <t>01271220282</t>
  </si>
  <si>
    <t>نفس الرقم</t>
  </si>
  <si>
    <t xml:space="preserve">١ش ملطى سلامة -الطالبية </t>
  </si>
  <si>
    <t xml:space="preserve">ديڨيد شنوده لمعي غبيوس </t>
  </si>
  <si>
    <t>01282132816</t>
  </si>
  <si>
    <t xml:space="preserve">37 شارع ابو صابر - مجمع المدارس </t>
  </si>
  <si>
    <t xml:space="preserve">ابونا ايلاريون </t>
  </si>
  <si>
    <t>مينا وجيه بباوي ميخائيل</t>
  </si>
  <si>
    <t>01229639296</t>
  </si>
  <si>
    <t>21 شارع بنها - خلف اكاديمية الفنون</t>
  </si>
  <si>
    <t>ثروت سوريال قلد غالي</t>
  </si>
  <si>
    <t>٠١٢٨٠٥٢٥١٠٠</t>
  </si>
  <si>
    <t>٠١٠٩٥٧٢٠٣٠٧</t>
  </si>
  <si>
    <t xml:space="preserve">١٠ ش الليثيى من المدينة المنورة الثلاثينى </t>
  </si>
  <si>
    <t>١٩٨٥</t>
  </si>
  <si>
    <t>مش عارف</t>
  </si>
  <si>
    <t xml:space="preserve">لا </t>
  </si>
  <si>
    <t>ابونا بموا الانبا بيشوى</t>
  </si>
  <si>
    <t xml:space="preserve">ارساني وليد وليم عبدالله </t>
  </si>
  <si>
    <t>01228851269</t>
  </si>
  <si>
    <t xml:space="preserve">شارع المستشفي </t>
  </si>
  <si>
    <t>ابونا ارسانيوس</t>
  </si>
  <si>
    <t xml:space="preserve">مارسيل مشيل حمايه الله جبره </t>
  </si>
  <si>
    <t>01277131051</t>
  </si>
  <si>
    <t>01206763356</t>
  </si>
  <si>
    <t xml:space="preserve">60 شارع عدوى سليم </t>
  </si>
  <si>
    <t xml:space="preserve">ابونا دانيال </t>
  </si>
  <si>
    <t>سوريال هاني لويز كامل</t>
  </si>
  <si>
    <t>01206987130</t>
  </si>
  <si>
    <t>21 شارع مسجد الرحمة (سليمان محمد ) عمرانية غربية جيزة</t>
  </si>
  <si>
    <t>ابونا اساف داوود</t>
  </si>
  <si>
    <t xml:space="preserve">ابرام ايمن بباوي ميخائيل </t>
  </si>
  <si>
    <t>01286933624</t>
  </si>
  <si>
    <t xml:space="preserve">1ش ممدوح الفرنساوى(شارع مدرسه اليرموك)-عثمان محرم </t>
  </si>
  <si>
    <t>ماريز طلعت متى عبده</t>
  </si>
  <si>
    <t>01287881590</t>
  </si>
  <si>
    <t>٤٣ شارع أبناء سوهاج - سنترال العمرانية</t>
  </si>
  <si>
    <t xml:space="preserve">مريم ايمن حلمي محارب </t>
  </si>
  <si>
    <t>01229706620</t>
  </si>
  <si>
    <t xml:space="preserve">شارع جمال سلمان متفرع من شارع الدكتور </t>
  </si>
  <si>
    <t>مارتينا بخيت حنا جرجس</t>
  </si>
  <si>
    <t>01280159548</t>
  </si>
  <si>
    <t>ش الدكتور</t>
  </si>
  <si>
    <t>Oct 2026</t>
  </si>
  <si>
    <t>جرجس صديق خليل جاد</t>
  </si>
  <si>
    <t>01276787982</t>
  </si>
  <si>
    <t>شارع فهمي محمد من عثمان محرم - طالبية - هرم</t>
  </si>
  <si>
    <t>1/9/2006</t>
  </si>
  <si>
    <t>30/8/2013</t>
  </si>
  <si>
    <t>ابونا صموئيل موريس</t>
  </si>
  <si>
    <t>مارك مكاريوس عبيد عزمي</t>
  </si>
  <si>
    <t>01224545648</t>
  </si>
  <si>
    <t>٤ شارع عبدالرحمن سلامة - ثلاثيني</t>
  </si>
  <si>
    <t>ابونا دانيال</t>
  </si>
  <si>
    <t>بيتر ميشيل ملاك روفائيل</t>
  </si>
  <si>
    <t>01226534149</t>
  </si>
  <si>
    <t>١٢ ش المعسكر - عمرانية غربية</t>
  </si>
  <si>
    <t>ابونا بوعز - العدرا عمرانية</t>
  </si>
  <si>
    <t xml:space="preserve">كيرلس مشيل حماية الله جبرة </t>
  </si>
  <si>
    <t>01274961399</t>
  </si>
  <si>
    <t xml:space="preserve">60 عدوي سليم ابو صدقي امام مجمع المدارس عمرانية غربية </t>
  </si>
  <si>
    <t>فادي بسطا عبدالفادي فخري</t>
  </si>
  <si>
    <t>01274787866</t>
  </si>
  <si>
    <t>6 ش سيد عويس تقسيم حسن فهيم</t>
  </si>
  <si>
    <t xml:space="preserve">بولا أسعد مشرقي عبدالله </t>
  </si>
  <si>
    <t>01202815645</t>
  </si>
  <si>
    <t>31 ش عثمان محرم - الطالبية</t>
  </si>
  <si>
    <t xml:space="preserve">ابونا افرام أسعد </t>
  </si>
  <si>
    <t>يوسف سمير شهدى ذكى</t>
  </si>
  <si>
    <t>01286741197</t>
  </si>
  <si>
    <t xml:space="preserve">38ش مسجد الرحمن </t>
  </si>
  <si>
    <t xml:space="preserve">ابونا ببنودة </t>
  </si>
  <si>
    <t>مارينا ماهر زكريا راغب</t>
  </si>
  <si>
    <t>01283510282</t>
  </si>
  <si>
    <t>3شارع رضا عبد العال متفرع من الدكتور جنب كنيسه ماربولس</t>
  </si>
  <si>
    <t xml:space="preserve">2022 غالبا </t>
  </si>
  <si>
    <t>اسره التمهيدى</t>
  </si>
  <si>
    <t xml:space="preserve">ريمون متى سليمان يعقوب </t>
  </si>
  <si>
    <t>01286953984</t>
  </si>
  <si>
    <t>٥٧ ش عبد الغني حسن_ متفرع من عثمان محرم</t>
  </si>
  <si>
    <t>مجدى ابراهيم شاكر مسعد</t>
  </si>
  <si>
    <t>01224514285</t>
  </si>
  <si>
    <t>6شارع محمود حسين سلام من عثمان محرم طالبيه</t>
  </si>
  <si>
    <t>٠٠</t>
  </si>
  <si>
    <t>قدس ابونا ارسانيوس نصيف</t>
  </si>
  <si>
    <t>كيرلس هاني جميل قاعود</t>
  </si>
  <si>
    <t>01202667782</t>
  </si>
  <si>
    <t>6 ش الحلواني من المجمع المدارس خلف السنترال</t>
  </si>
  <si>
    <t>مارك سامي جميل ناشد</t>
  </si>
  <si>
    <t>01278725585</t>
  </si>
  <si>
    <t>٢٧ شارع السعادة امام عيادة الانباء ابرام</t>
  </si>
  <si>
    <t>5/2/2003</t>
  </si>
  <si>
    <t>1/6/2019</t>
  </si>
  <si>
    <t>1/10/2026</t>
  </si>
  <si>
    <t>ابانوب روماني شندي خليل</t>
  </si>
  <si>
    <t>01282015756</t>
  </si>
  <si>
    <t>28ش محمود حسنين الحلواني</t>
  </si>
  <si>
    <t>ديفيد اكرم برتي حنين</t>
  </si>
  <si>
    <t>01220205244</t>
  </si>
  <si>
    <t xml:space="preserve">٦ ش الدكتور محمد فؤاد سعيد عمرانيه غربيه </t>
  </si>
  <si>
    <t>ا/ افرام</t>
  </si>
  <si>
    <t>جون سامي متري بحبوح</t>
  </si>
  <si>
    <t>01224619998</t>
  </si>
  <si>
    <t>15 ش صقر قريش..المظينة المنورة..تلاتيني</t>
  </si>
  <si>
    <t>ابونا يشوع .. عدرا دمشيرية</t>
  </si>
  <si>
    <t xml:space="preserve">رامي نبيه رشدي لوندي </t>
  </si>
  <si>
    <t>01204773463</t>
  </si>
  <si>
    <t xml:space="preserve">1 حارة الاخلاص شارع الدكتور </t>
  </si>
  <si>
    <t>.</t>
  </si>
  <si>
    <t xml:space="preserve">كاترين أشرف صبري عزمي </t>
  </si>
  <si>
    <t>01278285399</t>
  </si>
  <si>
    <t xml:space="preserve">48 ش عبد اللطيف </t>
  </si>
  <si>
    <t>ساندرا رومانى هنرى ارمانيوس</t>
  </si>
  <si>
    <t>01212481424</t>
  </si>
  <si>
    <t>٢٠ ش عبد الرحيم مطر من الثلاثينى - العمرانية - جيزة</t>
  </si>
  <si>
    <t xml:space="preserve">ارسانى صموئيل </t>
  </si>
  <si>
    <t xml:space="preserve">دميانة عادل شوقي يوسف </t>
  </si>
  <si>
    <t>01270281611</t>
  </si>
  <si>
    <t xml:space="preserve">12ش العامل عمرانية غربية الجيزة </t>
  </si>
  <si>
    <t>9/2017</t>
  </si>
  <si>
    <t>لسه هتخرج السنادي</t>
  </si>
  <si>
    <t xml:space="preserve">ابونا إبرام نصر </t>
  </si>
  <si>
    <t>كيرلس ميلاد سعد فرج</t>
  </si>
  <si>
    <t>01275458860</t>
  </si>
  <si>
    <t xml:space="preserve">14 شارع مكه متفرع من الازهار٢ متفرع من ترسا الهرم </t>
  </si>
  <si>
    <t xml:space="preserve">ابونا موسى </t>
  </si>
  <si>
    <t xml:space="preserve">اسرة سنه رابعة </t>
  </si>
  <si>
    <t>توماس صابر مسعد عجايبي</t>
  </si>
  <si>
    <t>01201854464</t>
  </si>
  <si>
    <t>27 ش سيد عويس من ش مجمع المدارس</t>
  </si>
  <si>
    <t>القمص/افرام اسعد</t>
  </si>
  <si>
    <t xml:space="preserve">برسوم العريان مفيد زكي </t>
  </si>
  <si>
    <t>01285787071</t>
  </si>
  <si>
    <t>01125685475</t>
  </si>
  <si>
    <t>15ح مجدي من شارع العهد الجديد من شارع مستشفي الصدر</t>
  </si>
  <si>
    <t>مش فاكر</t>
  </si>
  <si>
    <t>ابراهيم وهيب حزين صليب</t>
  </si>
  <si>
    <t>01204199935</t>
  </si>
  <si>
    <t>٦ش الجامع متفرع من الثلاثينى ع.غ.جيزة</t>
  </si>
  <si>
    <t>١٩٩٢</t>
  </si>
  <si>
    <t>٢٠١٣</t>
  </si>
  <si>
    <t>٢٠٢٣</t>
  </si>
  <si>
    <t>ابونا ميخائيل رمزى</t>
  </si>
  <si>
    <t>اسرة الشهيد مارمينا</t>
  </si>
  <si>
    <t>اندرو رومانى هنرى ارمانيوس</t>
  </si>
  <si>
    <t>01226616065</t>
  </si>
  <si>
    <t>٢٠ ش عبد الرحيم مطر من الثلاثينى - العمرانية- الجيزة</t>
  </si>
  <si>
    <t>حاليا لايوجد</t>
  </si>
  <si>
    <t xml:space="preserve">هايدي هاني جميل قاعود </t>
  </si>
  <si>
    <t>01224700772</t>
  </si>
  <si>
    <t xml:space="preserve">6ش الحلوانى متفرع من مجمع المدارس عمرانية غربية </t>
  </si>
  <si>
    <t>كيرلس ميخائيل جادالرب شحاته</t>
  </si>
  <si>
    <t>01125180991</t>
  </si>
  <si>
    <t xml:space="preserve">26ش ابنا سوهاج </t>
  </si>
  <si>
    <t>3070921262103777</t>
  </si>
  <si>
    <t>مارينا رافت عاطف لبس</t>
  </si>
  <si>
    <t>01278495955</t>
  </si>
  <si>
    <t xml:space="preserve">٥٤شارع عمار بن ياسر عمرانيه </t>
  </si>
  <si>
    <t>انطون ناجي كمال كامل</t>
  </si>
  <si>
    <t>01202587790</t>
  </si>
  <si>
    <t>100 خاتم مرسلين أمام كوبري ترسا</t>
  </si>
  <si>
    <t>ابونا ايلاريون</t>
  </si>
  <si>
    <t xml:space="preserve">ريمون يوحنا عزمي ناشد </t>
  </si>
  <si>
    <t>01200244450</t>
  </si>
  <si>
    <t>29 عثمان محرم طالبيه هرم الدور 8</t>
  </si>
  <si>
    <t xml:space="preserve">فيلوباتير نبيل رمزى ميخائيل </t>
  </si>
  <si>
    <t>01212855237</t>
  </si>
  <si>
    <t>2ش محمود حلمى _ الزهراء</t>
  </si>
  <si>
    <t>5/5/2005</t>
  </si>
  <si>
    <t xml:space="preserve">ماريا مجدي جعيدي عريان </t>
  </si>
  <si>
    <t>01210717469</t>
  </si>
  <si>
    <t>5 ش الحاج عبد الجليل (ابو صابر )</t>
  </si>
  <si>
    <t>كيرلس بولا جرجس يوسف</t>
  </si>
  <si>
    <t>01203520824</t>
  </si>
  <si>
    <t>٣١ش السعاده متفرع من مجمع المدارس</t>
  </si>
  <si>
    <t>—</t>
  </si>
  <si>
    <t>مينا فتحي طانيوس ارمانيوس</t>
  </si>
  <si>
    <t>01288174251</t>
  </si>
  <si>
    <t>١٢ ش صقر قريش من المدينة المنورة "شارع السجل"</t>
  </si>
  <si>
    <t>1/9/2014</t>
  </si>
  <si>
    <t>ابونا ابرأم</t>
  </si>
  <si>
    <t>باڤلي محروس موسى عبدالنور</t>
  </si>
  <si>
    <t>01227635823</t>
  </si>
  <si>
    <t>7 شارع ابن ورد اللبيني هرم</t>
  </si>
  <si>
    <t>username</t>
  </si>
  <si>
    <t>password</t>
  </si>
  <si>
    <t>full_name</t>
  </si>
  <si>
    <t>phone</t>
  </si>
  <si>
    <t>whatsapp</t>
  </si>
  <si>
    <t>address</t>
  </si>
  <si>
    <t>Column1</t>
  </si>
  <si>
    <t>الرقم القومي</t>
  </si>
  <si>
    <t>الرقم</t>
  </si>
  <si>
    <t>امين اسرة</t>
  </si>
  <si>
    <t>امين مساعد</t>
  </si>
  <si>
    <t>امين مرحلة</t>
  </si>
  <si>
    <t>امين الشمامسة</t>
  </si>
  <si>
    <t>family</t>
  </si>
  <si>
    <t>stage</t>
  </si>
  <si>
    <t>role</t>
  </si>
  <si>
    <t>father</t>
  </si>
  <si>
    <t>birth_date</t>
  </si>
  <si>
    <t>joined_date</t>
  </si>
  <si>
    <t>slogan</t>
  </si>
  <si>
    <t>خادم شاطر</t>
  </si>
  <si>
    <t>اسرة القديس اسطفانوس</t>
  </si>
  <si>
    <t>اسرة مارمينا</t>
  </si>
  <si>
    <t>اسرة الانبا بيشوي</t>
  </si>
  <si>
    <t>اسرة الانبا انطونيوس</t>
  </si>
  <si>
    <t>اسرة البابا اثناسيوس</t>
  </si>
  <si>
    <t>اسرة البابا كيرلس عمود الدين  ع ث</t>
  </si>
  <si>
    <t>اسرة القديس اسطفانوس ع ث</t>
  </si>
  <si>
    <t>اسرة الانبا بيشوي ع ث</t>
  </si>
  <si>
    <t>اسرة الانبا انطونيوس ع ث</t>
  </si>
  <si>
    <t xml:space="preserve">المرحلة الثانية </t>
  </si>
  <si>
    <t>مرحلة الكبار</t>
  </si>
  <si>
    <t>المرحلة الاولي</t>
  </si>
  <si>
    <t>مرحلة الخورس</t>
  </si>
  <si>
    <t>مرحلة السكرتارية</t>
  </si>
  <si>
    <t>مرحلة خاصة</t>
  </si>
  <si>
    <t>اسرة السكرتارية</t>
  </si>
  <si>
    <t>اسرة داود النبي</t>
  </si>
  <si>
    <t>خادم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</si>
</sst>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C1:R74" headerRowDxfId="19" dataDxfId="18" totalsRowDxfId="17">
  <tableColumns count="16">
    <tableColumn id="2" xr3:uid="{00000000-0010-0000-0000-000002000000}" name="full_name" dataDxfId="16"/>
    <tableColumn id="3" xr3:uid="{00000000-0010-0000-0000-000003000000}" name="phone" dataDxfId="15"/>
    <tableColumn id="4" xr3:uid="{00000000-0010-0000-0000-000004000000}" name="whatsapp" dataDxfId="14"/>
    <tableColumn id="5" xr3:uid="{00000000-0010-0000-0000-000005000000}" name="address" dataDxfId="13"/>
    <tableColumn id="6" xr3:uid="{00000000-0010-0000-0000-000006000000}" name="الرقم" dataDxfId="12"/>
    <tableColumn id="14" xr3:uid="{FF7DDD40-1443-46DA-8B73-90E377250CDB}" name="الرقم القومي" dataDxfId="11">
      <calculatedColumnFormula>IF(ISNUMBER(G2),TEXT(G2,"0"),G2)</calculatedColumnFormula>
    </tableColumn>
    <tableColumn id="7" xr3:uid="{00000000-0010-0000-0000-000007000000}" name="سنة الميلاد" dataDxfId="10"/>
    <tableColumn id="8" xr3:uid="{00000000-0010-0000-0000-000008000000}" name="birth_date" dataDxfId="9"/>
    <tableColumn id="9" xr3:uid="{00000000-0010-0000-0000-000009000000}" name="joined_date" dataDxfId="8"/>
    <tableColumn id="10" xr3:uid="{00000000-0010-0000-0000-00000A000000}" name="تاريخ التخرج من مدرسة الشمامسة " dataDxfId="7"/>
    <tableColumn id="11" xr3:uid="{00000000-0010-0000-0000-00000B000000}" name="father" dataDxfId="6"/>
    <tableColumn id="15" xr3:uid="{F507109B-161E-43BA-B146-5FF39E7AF577}" name="role" dataDxfId="5"/>
    <tableColumn id="1" xr3:uid="{9004193E-5F12-451D-B742-2DF59C6CBD1D}" name="slogan" dataDxfId="4"/>
    <tableColumn id="12" xr3:uid="{00000000-0010-0000-0000-00000C000000}" name="family" dataDxfId="3"/>
    <tableColumn id="13" xr3:uid="{00000000-0010-0000-0000-00000D000000}" name="stage" dataDxfId="2"/>
    <tableColumn id="16" xr3:uid="{53B88F17-7DC8-4796-81B6-F8376B19F764}" name="Column1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74"/>
  <sheetViews>
    <sheetView rightToLeft="1" tabSelected="1" topLeftCell="K1" zoomScale="324" zoomScaleNormal="324" workbookViewId="0">
      <pane ySplit="1" topLeftCell="A2" activePane="bottomLeft" state="frozen"/>
      <selection pane="bottomLeft" activeCell="L4" sqref="L4"/>
    </sheetView>
  </sheetViews>
  <sheetFormatPr defaultColWidth="12.6640625" defaultRowHeight="15.75" customHeight="1" x14ac:dyDescent="0.25"/>
  <cols>
    <col min="1" max="1" width="21.77734375" style="6" bestFit="1" customWidth="1"/>
    <col min="2" max="2" width="21" style="6" bestFit="1" customWidth="1"/>
    <col min="3" max="3" width="21.33203125" style="6" bestFit="1" customWidth="1"/>
    <col min="4" max="4" width="14.21875" style="6" bestFit="1" customWidth="1"/>
    <col min="5" max="5" width="21.109375" style="6" bestFit="1" customWidth="1"/>
    <col min="6" max="6" width="46.77734375" style="6" customWidth="1"/>
    <col min="7" max="7" width="18.5546875" style="9" bestFit="1" customWidth="1"/>
    <col min="8" max="8" width="27.77734375" style="9" customWidth="1"/>
    <col min="9" max="9" width="18.88671875" style="6" customWidth="1"/>
    <col min="10" max="10" width="22.109375" style="6" customWidth="1"/>
    <col min="11" max="11" width="40.33203125" style="6" bestFit="1" customWidth="1"/>
    <col min="12" max="12" width="27.44140625" style="6" customWidth="1"/>
    <col min="13" max="13" width="22.88671875" style="6" customWidth="1"/>
    <col min="14" max="14" width="8.88671875" style="6" bestFit="1" customWidth="1"/>
    <col min="15" max="15" width="15.21875" style="6" hidden="1" customWidth="1"/>
    <col min="16" max="16" width="32.5546875" style="6" customWidth="1"/>
    <col min="17" max="17" width="13.88671875" style="6" bestFit="1" customWidth="1"/>
    <col min="18" max="23" width="18.88671875" style="6" customWidth="1"/>
    <col min="24" max="16384" width="12.6640625" style="6"/>
  </cols>
  <sheetData>
    <row r="1" spans="1:18" ht="22.5" customHeight="1" x14ac:dyDescent="0.25">
      <c r="A1" s="1" t="s">
        <v>310</v>
      </c>
      <c r="B1" s="2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2" t="s">
        <v>318</v>
      </c>
      <c r="H1" s="2" t="s">
        <v>317</v>
      </c>
      <c r="I1" s="3" t="s">
        <v>0</v>
      </c>
      <c r="J1" s="1" t="s">
        <v>327</v>
      </c>
      <c r="K1" s="1" t="s">
        <v>328</v>
      </c>
      <c r="L1" s="3" t="s">
        <v>1</v>
      </c>
      <c r="M1" s="3" t="s">
        <v>326</v>
      </c>
      <c r="N1" s="3" t="s">
        <v>325</v>
      </c>
      <c r="O1" s="1" t="s">
        <v>329</v>
      </c>
      <c r="P1" s="3" t="s">
        <v>323</v>
      </c>
      <c r="Q1" s="4" t="s">
        <v>324</v>
      </c>
      <c r="R1" s="6" t="s">
        <v>316</v>
      </c>
    </row>
    <row r="2" spans="1:18" ht="22.5" customHeight="1" x14ac:dyDescent="0.25">
      <c r="C2" s="4" t="s">
        <v>2</v>
      </c>
      <c r="D2" s="5" t="s">
        <v>3</v>
      </c>
      <c r="E2" s="5" t="s">
        <v>3</v>
      </c>
      <c r="F2" s="4" t="s">
        <v>4</v>
      </c>
      <c r="G2" s="7">
        <v>29910192102435</v>
      </c>
      <c r="H2" s="7" t="str">
        <f t="shared" ref="H2:H33" si="0">IF(ISNUMBER(G2),TEXT(G2,"0"),G2)</f>
        <v>29910192102435</v>
      </c>
      <c r="I2" s="4">
        <v>1999</v>
      </c>
      <c r="J2" s="8">
        <v>36429</v>
      </c>
      <c r="K2" s="4">
        <v>2010</v>
      </c>
      <c r="L2" s="4" t="s">
        <v>5</v>
      </c>
      <c r="M2" s="4" t="s">
        <v>6</v>
      </c>
      <c r="N2" s="10" t="s">
        <v>319</v>
      </c>
      <c r="O2" s="4" t="s">
        <v>330</v>
      </c>
      <c r="P2" s="4" t="s">
        <v>336</v>
      </c>
      <c r="Q2" s="4" t="s">
        <v>341</v>
      </c>
    </row>
    <row r="3" spans="1:18" ht="22.5" customHeight="1" x14ac:dyDescent="0.25">
      <c r="C3" s="4" t="s">
        <v>7</v>
      </c>
      <c r="D3" s="5" t="s">
        <v>8</v>
      </c>
      <c r="E3" s="5" t="s">
        <v>8</v>
      </c>
      <c r="F3" s="4" t="s">
        <v>9</v>
      </c>
      <c r="G3" s="7">
        <v>30609012100158</v>
      </c>
      <c r="H3" s="7" t="str">
        <f t="shared" si="0"/>
        <v>30609012100158</v>
      </c>
      <c r="I3" s="4">
        <v>2006</v>
      </c>
      <c r="J3" s="8">
        <v>38961</v>
      </c>
      <c r="K3" s="4">
        <v>2015</v>
      </c>
      <c r="L3" s="4">
        <v>2025</v>
      </c>
      <c r="M3" s="4" t="s">
        <v>10</v>
      </c>
      <c r="N3" s="11" t="s">
        <v>348</v>
      </c>
      <c r="O3" s="4" t="s">
        <v>330</v>
      </c>
      <c r="P3" s="4" t="s">
        <v>335</v>
      </c>
      <c r="Q3" s="4" t="s">
        <v>340</v>
      </c>
    </row>
    <row r="4" spans="1:18" ht="22.5" customHeight="1" x14ac:dyDescent="0.25">
      <c r="C4" s="4" t="s">
        <v>11</v>
      </c>
      <c r="D4" s="5" t="s">
        <v>12</v>
      </c>
      <c r="E4" s="5" t="s">
        <v>12</v>
      </c>
      <c r="F4" s="4" t="s">
        <v>13</v>
      </c>
      <c r="G4" s="7">
        <v>30109302109431</v>
      </c>
      <c r="H4" s="7" t="str">
        <f t="shared" si="0"/>
        <v>30109302109431</v>
      </c>
      <c r="I4" s="4">
        <v>2001</v>
      </c>
      <c r="J4" s="8">
        <v>37174</v>
      </c>
      <c r="K4" s="4">
        <v>2015</v>
      </c>
      <c r="L4" s="4">
        <v>2023</v>
      </c>
      <c r="M4" s="4" t="s">
        <v>14</v>
      </c>
      <c r="N4" s="11" t="s">
        <v>348</v>
      </c>
      <c r="O4" s="4" t="s">
        <v>330</v>
      </c>
      <c r="P4" s="4" t="s">
        <v>334</v>
      </c>
      <c r="Q4" s="4" t="s">
        <v>340</v>
      </c>
    </row>
    <row r="5" spans="1:18" ht="22.5" customHeight="1" x14ac:dyDescent="0.25">
      <c r="C5" s="4" t="s">
        <v>15</v>
      </c>
      <c r="D5" s="5" t="s">
        <v>16</v>
      </c>
      <c r="E5" s="5" t="s">
        <v>16</v>
      </c>
      <c r="F5" s="4" t="s">
        <v>17</v>
      </c>
      <c r="G5" s="7">
        <v>30009182600255</v>
      </c>
      <c r="H5" s="7" t="str">
        <f t="shared" si="0"/>
        <v>30009182600255</v>
      </c>
      <c r="I5" s="4">
        <v>2000</v>
      </c>
      <c r="J5" s="8">
        <v>36787</v>
      </c>
      <c r="K5" s="4">
        <v>2011</v>
      </c>
      <c r="L5" s="4">
        <v>2020</v>
      </c>
      <c r="M5" s="4" t="s">
        <v>18</v>
      </c>
      <c r="N5" s="11" t="s">
        <v>319</v>
      </c>
      <c r="O5" s="4" t="s">
        <v>330</v>
      </c>
      <c r="P5" s="4" t="s">
        <v>331</v>
      </c>
      <c r="Q5" s="4" t="s">
        <v>342</v>
      </c>
    </row>
    <row r="6" spans="1:18" ht="22.5" customHeight="1" x14ac:dyDescent="0.25">
      <c r="C6" s="4" t="s">
        <v>19</v>
      </c>
      <c r="D6" s="5" t="s">
        <v>20</v>
      </c>
      <c r="E6" s="5" t="s">
        <v>20</v>
      </c>
      <c r="F6" s="4" t="s">
        <v>21</v>
      </c>
      <c r="G6" s="7">
        <v>30307011406982</v>
      </c>
      <c r="H6" s="7" t="str">
        <f t="shared" si="0"/>
        <v>30307011406982</v>
      </c>
      <c r="I6" s="4">
        <v>2003</v>
      </c>
      <c r="J6" s="8">
        <v>37798</v>
      </c>
      <c r="K6" s="4" t="s">
        <v>22</v>
      </c>
      <c r="L6" s="4">
        <v>2026</v>
      </c>
      <c r="M6" s="4" t="s">
        <v>23</v>
      </c>
      <c r="N6" s="11" t="s">
        <v>348</v>
      </c>
      <c r="O6" s="4" t="s">
        <v>330</v>
      </c>
      <c r="P6" s="4" t="s">
        <v>336</v>
      </c>
      <c r="Q6" s="4" t="s">
        <v>341</v>
      </c>
    </row>
    <row r="7" spans="1:18" ht="22.5" customHeight="1" x14ac:dyDescent="0.25">
      <c r="C7" s="4" t="s">
        <v>24</v>
      </c>
      <c r="D7" s="5" t="s">
        <v>25</v>
      </c>
      <c r="E7" s="5" t="s">
        <v>25</v>
      </c>
      <c r="F7" s="4" t="s">
        <v>26</v>
      </c>
      <c r="G7" s="7">
        <v>30502162104071</v>
      </c>
      <c r="H7" s="7" t="str">
        <f t="shared" si="0"/>
        <v>30502162104071</v>
      </c>
      <c r="I7" s="4">
        <v>2005</v>
      </c>
      <c r="J7" s="8">
        <v>38399</v>
      </c>
      <c r="K7" s="4">
        <v>2013</v>
      </c>
      <c r="L7" s="4">
        <v>2023</v>
      </c>
      <c r="M7" s="4" t="s">
        <v>27</v>
      </c>
      <c r="N7" s="11" t="s">
        <v>348</v>
      </c>
      <c r="O7" s="4" t="s">
        <v>330</v>
      </c>
      <c r="P7" s="4" t="s">
        <v>80</v>
      </c>
      <c r="Q7" s="4" t="s">
        <v>340</v>
      </c>
    </row>
    <row r="8" spans="1:18" ht="22.5" customHeight="1" x14ac:dyDescent="0.25">
      <c r="C8" s="4" t="s">
        <v>28</v>
      </c>
      <c r="D8" s="5" t="s">
        <v>29</v>
      </c>
      <c r="E8" s="5" t="s">
        <v>29</v>
      </c>
      <c r="F8" s="4" t="s">
        <v>30</v>
      </c>
      <c r="G8" s="7">
        <v>29007252100613</v>
      </c>
      <c r="H8" s="7" t="str">
        <f t="shared" si="0"/>
        <v>29007252100613</v>
      </c>
      <c r="I8" s="4" t="s">
        <v>31</v>
      </c>
      <c r="J8" s="8">
        <v>33079</v>
      </c>
      <c r="K8" s="4" t="s">
        <v>32</v>
      </c>
      <c r="L8" s="4" t="s">
        <v>33</v>
      </c>
      <c r="M8" s="4" t="s">
        <v>34</v>
      </c>
      <c r="N8" s="11" t="s">
        <v>319</v>
      </c>
      <c r="O8" s="4" t="s">
        <v>330</v>
      </c>
      <c r="P8" s="4" t="s">
        <v>337</v>
      </c>
      <c r="Q8" s="4" t="s">
        <v>341</v>
      </c>
    </row>
    <row r="9" spans="1:18" ht="22.5" customHeight="1" x14ac:dyDescent="0.25">
      <c r="C9" s="4" t="s">
        <v>35</v>
      </c>
      <c r="D9" s="5" t="s">
        <v>36</v>
      </c>
      <c r="E9" s="5" t="s">
        <v>36</v>
      </c>
      <c r="F9" s="4" t="s">
        <v>37</v>
      </c>
      <c r="G9" s="7">
        <v>30103182100135</v>
      </c>
      <c r="H9" s="7" t="str">
        <f t="shared" si="0"/>
        <v>30103182100135</v>
      </c>
      <c r="I9" s="4">
        <v>2001</v>
      </c>
      <c r="J9" s="8">
        <v>36968</v>
      </c>
      <c r="K9" s="4">
        <v>2010</v>
      </c>
      <c r="L9" s="4">
        <v>2020</v>
      </c>
      <c r="M9" s="4" t="s">
        <v>38</v>
      </c>
      <c r="N9" s="11" t="s">
        <v>319</v>
      </c>
      <c r="O9" s="4" t="s">
        <v>330</v>
      </c>
      <c r="P9" s="4" t="s">
        <v>334</v>
      </c>
      <c r="Q9" s="4" t="s">
        <v>340</v>
      </c>
    </row>
    <row r="10" spans="1:18" ht="22.5" customHeight="1" x14ac:dyDescent="0.25">
      <c r="C10" s="4" t="s">
        <v>39</v>
      </c>
      <c r="D10" s="5" t="s">
        <v>40</v>
      </c>
      <c r="E10" s="5" t="s">
        <v>40</v>
      </c>
      <c r="F10" s="4" t="s">
        <v>41</v>
      </c>
      <c r="G10" s="7">
        <v>30606282100355</v>
      </c>
      <c r="H10" s="7" t="str">
        <f t="shared" si="0"/>
        <v>30606282100355</v>
      </c>
      <c r="I10" s="4" t="s">
        <v>42</v>
      </c>
      <c r="J10" s="8">
        <v>38896</v>
      </c>
      <c r="K10" s="4">
        <v>2011</v>
      </c>
      <c r="L10" s="4">
        <v>2022</v>
      </c>
      <c r="M10" s="4" t="s">
        <v>43</v>
      </c>
      <c r="N10" s="11" t="s">
        <v>348</v>
      </c>
      <c r="O10" s="4" t="s">
        <v>330</v>
      </c>
      <c r="P10" s="4" t="s">
        <v>334</v>
      </c>
      <c r="Q10" s="4" t="s">
        <v>340</v>
      </c>
    </row>
    <row r="11" spans="1:18" ht="22.5" customHeight="1" x14ac:dyDescent="0.25">
      <c r="C11" s="4" t="s">
        <v>44</v>
      </c>
      <c r="D11" s="5" t="s">
        <v>45</v>
      </c>
      <c r="E11" s="5" t="s">
        <v>45</v>
      </c>
      <c r="F11" s="4" t="s">
        <v>46</v>
      </c>
      <c r="G11" s="7">
        <v>30504162104651</v>
      </c>
      <c r="H11" s="7" t="str">
        <f t="shared" si="0"/>
        <v>30504162104651</v>
      </c>
      <c r="I11" s="4">
        <v>2005</v>
      </c>
      <c r="J11" s="8">
        <v>38458</v>
      </c>
      <c r="K11" s="4">
        <v>2015</v>
      </c>
      <c r="L11" s="4">
        <v>2025</v>
      </c>
      <c r="M11" s="4" t="s">
        <v>47</v>
      </c>
      <c r="N11" s="11" t="s">
        <v>320</v>
      </c>
      <c r="O11" s="4" t="s">
        <v>330</v>
      </c>
      <c r="P11" s="4" t="s">
        <v>331</v>
      </c>
      <c r="Q11" s="4" t="s">
        <v>342</v>
      </c>
    </row>
    <row r="12" spans="1:18" ht="22.5" customHeight="1" x14ac:dyDescent="0.25">
      <c r="C12" s="4" t="s">
        <v>48</v>
      </c>
      <c r="D12" s="5" t="s">
        <v>49</v>
      </c>
      <c r="E12" s="5" t="s">
        <v>49</v>
      </c>
      <c r="F12" s="4" t="s">
        <v>50</v>
      </c>
      <c r="G12" s="7">
        <v>29911300102672</v>
      </c>
      <c r="H12" s="7" t="str">
        <f t="shared" si="0"/>
        <v>29911300102672</v>
      </c>
      <c r="I12" s="4">
        <v>1999</v>
      </c>
      <c r="J12" s="8">
        <v>36494</v>
      </c>
      <c r="K12" s="4">
        <v>2010</v>
      </c>
      <c r="L12" s="4">
        <v>2020</v>
      </c>
      <c r="M12" s="4" t="s">
        <v>51</v>
      </c>
      <c r="N12" s="11" t="s">
        <v>348</v>
      </c>
      <c r="O12" s="4" t="s">
        <v>330</v>
      </c>
      <c r="P12" s="4"/>
      <c r="Q12" s="4" t="s">
        <v>340</v>
      </c>
    </row>
    <row r="13" spans="1:18" ht="22.5" customHeight="1" x14ac:dyDescent="0.25">
      <c r="C13" s="4" t="s">
        <v>52</v>
      </c>
      <c r="D13" s="5" t="s">
        <v>53</v>
      </c>
      <c r="E13" s="5" t="s">
        <v>53</v>
      </c>
      <c r="F13" s="4" t="s">
        <v>54</v>
      </c>
      <c r="G13" s="7">
        <v>30607022104094</v>
      </c>
      <c r="H13" s="7" t="str">
        <f t="shared" si="0"/>
        <v>30607022104094</v>
      </c>
      <c r="I13" s="4">
        <v>2006</v>
      </c>
      <c r="J13" s="8">
        <v>38900</v>
      </c>
      <c r="K13" s="4">
        <v>2020</v>
      </c>
      <c r="L13" s="4">
        <v>2026</v>
      </c>
      <c r="M13" s="4" t="s">
        <v>55</v>
      </c>
      <c r="N13" s="11" t="s">
        <v>348</v>
      </c>
      <c r="O13" s="4" t="s">
        <v>330</v>
      </c>
      <c r="P13" s="4" t="s">
        <v>331</v>
      </c>
      <c r="Q13" s="4" t="s">
        <v>342</v>
      </c>
    </row>
    <row r="14" spans="1:18" ht="22.5" customHeight="1" x14ac:dyDescent="0.25">
      <c r="C14" s="4" t="s">
        <v>56</v>
      </c>
      <c r="D14" s="5" t="s">
        <v>57</v>
      </c>
      <c r="E14" s="5" t="s">
        <v>57</v>
      </c>
      <c r="F14" s="4" t="s">
        <v>58</v>
      </c>
      <c r="G14" s="7">
        <v>30809162104894</v>
      </c>
      <c r="H14" s="7" t="str">
        <f t="shared" si="0"/>
        <v>30809162104894</v>
      </c>
      <c r="I14" s="4">
        <v>2008</v>
      </c>
      <c r="J14" s="8">
        <v>39707</v>
      </c>
      <c r="K14" s="4" t="s">
        <v>59</v>
      </c>
      <c r="L14" s="5" t="s">
        <v>60</v>
      </c>
      <c r="M14" s="4" t="s">
        <v>61</v>
      </c>
      <c r="N14" s="11" t="s">
        <v>348</v>
      </c>
      <c r="O14" s="4" t="s">
        <v>330</v>
      </c>
      <c r="P14" s="4" t="s">
        <v>331</v>
      </c>
      <c r="Q14" s="4" t="s">
        <v>342</v>
      </c>
    </row>
    <row r="15" spans="1:18" ht="22.5" customHeight="1" x14ac:dyDescent="0.25">
      <c r="C15" s="4" t="s">
        <v>62</v>
      </c>
      <c r="D15" s="5" t="s">
        <v>63</v>
      </c>
      <c r="E15" s="5" t="s">
        <v>63</v>
      </c>
      <c r="F15" s="4" t="s">
        <v>64</v>
      </c>
      <c r="G15" s="7">
        <v>29509272102391</v>
      </c>
      <c r="H15" s="7" t="str">
        <f t="shared" si="0"/>
        <v>29509272102391</v>
      </c>
      <c r="I15" s="4">
        <v>1995</v>
      </c>
      <c r="J15" s="8">
        <v>34969</v>
      </c>
      <c r="K15" s="4">
        <v>2005</v>
      </c>
      <c r="L15" s="4">
        <v>2011</v>
      </c>
      <c r="M15" s="4" t="s">
        <v>65</v>
      </c>
      <c r="N15" s="11" t="s">
        <v>321</v>
      </c>
      <c r="O15" s="4" t="s">
        <v>330</v>
      </c>
      <c r="P15" s="4"/>
      <c r="Q15" s="4" t="s">
        <v>341</v>
      </c>
    </row>
    <row r="16" spans="1:18" ht="22.5" customHeight="1" x14ac:dyDescent="0.25">
      <c r="C16" s="4" t="s">
        <v>66</v>
      </c>
      <c r="D16" s="5" t="s">
        <v>67</v>
      </c>
      <c r="E16" s="5" t="s">
        <v>67</v>
      </c>
      <c r="F16" s="4" t="s">
        <v>68</v>
      </c>
      <c r="G16" s="7">
        <v>30201012101953</v>
      </c>
      <c r="H16" s="7" t="str">
        <f t="shared" si="0"/>
        <v>30201012101953</v>
      </c>
      <c r="I16" s="4">
        <v>2002</v>
      </c>
      <c r="J16" s="8">
        <v>37257</v>
      </c>
      <c r="K16" s="4" t="s">
        <v>69</v>
      </c>
      <c r="L16" s="4" t="s">
        <v>70</v>
      </c>
      <c r="M16" s="4" t="s">
        <v>71</v>
      </c>
      <c r="N16" s="11" t="s">
        <v>348</v>
      </c>
      <c r="O16" s="4" t="s">
        <v>330</v>
      </c>
      <c r="P16" s="4" t="s">
        <v>331</v>
      </c>
      <c r="Q16" s="4" t="s">
        <v>342</v>
      </c>
    </row>
    <row r="17" spans="3:17" ht="22.5" customHeight="1" x14ac:dyDescent="0.25">
      <c r="C17" s="4" t="s">
        <v>72</v>
      </c>
      <c r="D17" s="4">
        <v>1283211808</v>
      </c>
      <c r="E17" s="5" t="s">
        <v>73</v>
      </c>
      <c r="F17" s="4" t="s">
        <v>74</v>
      </c>
      <c r="G17" s="7">
        <v>29805102202969</v>
      </c>
      <c r="H17" s="7" t="str">
        <f t="shared" si="0"/>
        <v>29805102202969</v>
      </c>
      <c r="I17" s="4">
        <v>1998</v>
      </c>
      <c r="J17" s="8">
        <v>35925</v>
      </c>
      <c r="K17" s="4">
        <v>2010</v>
      </c>
      <c r="L17" s="4">
        <v>2016</v>
      </c>
      <c r="M17" s="4" t="s">
        <v>75</v>
      </c>
      <c r="N17" s="11" t="s">
        <v>348</v>
      </c>
      <c r="O17" s="4" t="s">
        <v>330</v>
      </c>
      <c r="P17" s="4" t="s">
        <v>335</v>
      </c>
      <c r="Q17" s="4" t="s">
        <v>340</v>
      </c>
    </row>
    <row r="18" spans="3:17" ht="22.5" customHeight="1" x14ac:dyDescent="0.25">
      <c r="C18" s="4" t="s">
        <v>76</v>
      </c>
      <c r="D18" s="5" t="s">
        <v>77</v>
      </c>
      <c r="E18" s="5" t="s">
        <v>77</v>
      </c>
      <c r="F18" s="4" t="s">
        <v>78</v>
      </c>
      <c r="G18" s="7">
        <v>29301062103352</v>
      </c>
      <c r="H18" s="7" t="str">
        <f t="shared" si="0"/>
        <v>29301062103352</v>
      </c>
      <c r="I18" s="4">
        <v>1993</v>
      </c>
      <c r="J18" s="8">
        <v>34151</v>
      </c>
      <c r="K18" s="4">
        <v>2011</v>
      </c>
      <c r="L18" s="4">
        <v>2017</v>
      </c>
      <c r="M18" s="4" t="s">
        <v>79</v>
      </c>
      <c r="N18" s="11" t="s">
        <v>348</v>
      </c>
      <c r="O18" s="4" t="s">
        <v>330</v>
      </c>
      <c r="P18" s="4" t="s">
        <v>336</v>
      </c>
      <c r="Q18" s="4" t="s">
        <v>341</v>
      </c>
    </row>
    <row r="19" spans="3:17" ht="22.5" customHeight="1" x14ac:dyDescent="0.25">
      <c r="C19" s="4" t="s">
        <v>81</v>
      </c>
      <c r="D19" s="5" t="s">
        <v>82</v>
      </c>
      <c r="E19" s="5" t="s">
        <v>82</v>
      </c>
      <c r="F19" s="4" t="s">
        <v>83</v>
      </c>
      <c r="G19" s="7">
        <v>27912082502181</v>
      </c>
      <c r="H19" s="7" t="str">
        <f t="shared" si="0"/>
        <v>27912082502181</v>
      </c>
      <c r="I19" s="4">
        <v>1997</v>
      </c>
      <c r="J19" s="8">
        <v>35772</v>
      </c>
      <c r="K19" s="4">
        <v>2013</v>
      </c>
      <c r="L19" s="4">
        <v>2022</v>
      </c>
      <c r="M19" s="4" t="s">
        <v>75</v>
      </c>
      <c r="N19" s="11" t="s">
        <v>319</v>
      </c>
      <c r="O19" s="4" t="s">
        <v>330</v>
      </c>
      <c r="P19" s="4" t="s">
        <v>332</v>
      </c>
      <c r="Q19" s="4" t="s">
        <v>342</v>
      </c>
    </row>
    <row r="20" spans="3:17" ht="22.5" customHeight="1" x14ac:dyDescent="0.25">
      <c r="C20" s="4" t="s">
        <v>84</v>
      </c>
      <c r="D20" s="5" t="s">
        <v>85</v>
      </c>
      <c r="E20" s="5" t="s">
        <v>85</v>
      </c>
      <c r="F20" s="4" t="s">
        <v>86</v>
      </c>
      <c r="G20" s="7">
        <v>30606012108117</v>
      </c>
      <c r="H20" s="7" t="str">
        <f t="shared" si="0"/>
        <v>30606012108117</v>
      </c>
      <c r="I20" s="5" t="s">
        <v>87</v>
      </c>
      <c r="J20" s="8">
        <v>38869</v>
      </c>
      <c r="K20" s="4" t="s">
        <v>88</v>
      </c>
      <c r="L20" s="4">
        <v>2025</v>
      </c>
      <c r="M20" s="4" t="s">
        <v>43</v>
      </c>
      <c r="N20" s="11" t="s">
        <v>348</v>
      </c>
      <c r="O20" s="4" t="s">
        <v>330</v>
      </c>
      <c r="P20" s="4" t="s">
        <v>331</v>
      </c>
      <c r="Q20" s="4" t="s">
        <v>342</v>
      </c>
    </row>
    <row r="21" spans="3:17" ht="22.5" customHeight="1" x14ac:dyDescent="0.25">
      <c r="C21" s="4" t="s">
        <v>89</v>
      </c>
      <c r="D21" s="4">
        <v>1212273165</v>
      </c>
      <c r="E21" s="5" t="s">
        <v>90</v>
      </c>
      <c r="F21" s="4" t="s">
        <v>91</v>
      </c>
      <c r="G21" s="7">
        <v>30711172100889</v>
      </c>
      <c r="H21" s="7" t="str">
        <f t="shared" si="0"/>
        <v>30711172100889</v>
      </c>
      <c r="I21" s="4">
        <v>2007</v>
      </c>
      <c r="J21" s="8">
        <v>39403</v>
      </c>
      <c r="K21" s="4">
        <v>2016</v>
      </c>
      <c r="L21" s="4">
        <v>2026</v>
      </c>
      <c r="M21" s="4" t="s">
        <v>92</v>
      </c>
      <c r="N21" s="11" t="s">
        <v>348</v>
      </c>
      <c r="O21" s="4" t="s">
        <v>330</v>
      </c>
      <c r="P21" s="4" t="s">
        <v>332</v>
      </c>
      <c r="Q21" s="4" t="s">
        <v>342</v>
      </c>
    </row>
    <row r="22" spans="3:17" ht="22.5" customHeight="1" x14ac:dyDescent="0.25">
      <c r="C22" s="4" t="s">
        <v>93</v>
      </c>
      <c r="D22" s="5" t="s">
        <v>94</v>
      </c>
      <c r="E22" s="5" t="s">
        <v>94</v>
      </c>
      <c r="F22" s="4" t="s">
        <v>95</v>
      </c>
      <c r="G22" s="7">
        <v>30005032103973</v>
      </c>
      <c r="H22" s="7" t="str">
        <f t="shared" si="0"/>
        <v>30005032103973</v>
      </c>
      <c r="I22" s="4">
        <v>2001</v>
      </c>
      <c r="J22" s="8">
        <v>37080</v>
      </c>
      <c r="K22" s="4">
        <v>2023</v>
      </c>
      <c r="L22" s="4">
        <v>2025</v>
      </c>
      <c r="M22" s="4" t="s">
        <v>47</v>
      </c>
      <c r="N22" s="11" t="s">
        <v>320</v>
      </c>
      <c r="O22" s="4" t="s">
        <v>330</v>
      </c>
      <c r="P22" s="4" t="s">
        <v>336</v>
      </c>
      <c r="Q22" s="4" t="s">
        <v>341</v>
      </c>
    </row>
    <row r="23" spans="3:17" ht="22.5" customHeight="1" x14ac:dyDescent="0.25">
      <c r="C23" s="4" t="s">
        <v>96</v>
      </c>
      <c r="D23" s="4" t="s">
        <v>97</v>
      </c>
      <c r="E23" s="4" t="s">
        <v>97</v>
      </c>
      <c r="F23" s="4" t="s">
        <v>98</v>
      </c>
      <c r="G23" s="7">
        <v>30407052102682</v>
      </c>
      <c r="H23" s="7" t="str">
        <f t="shared" si="0"/>
        <v>30407052102682</v>
      </c>
      <c r="I23" s="4" t="s">
        <v>99</v>
      </c>
      <c r="J23" s="8">
        <v>38173</v>
      </c>
      <c r="K23" s="4" t="s">
        <v>100</v>
      </c>
      <c r="L23" s="4" t="s">
        <v>101</v>
      </c>
      <c r="M23" s="4" t="s">
        <v>18</v>
      </c>
      <c r="N23" s="11" t="s">
        <v>348</v>
      </c>
      <c r="O23" s="4" t="s">
        <v>330</v>
      </c>
      <c r="P23" s="4" t="s">
        <v>334</v>
      </c>
      <c r="Q23" s="4" t="s">
        <v>340</v>
      </c>
    </row>
    <row r="24" spans="3:17" ht="22.5" customHeight="1" x14ac:dyDescent="0.25">
      <c r="C24" s="4" t="s">
        <v>102</v>
      </c>
      <c r="D24" s="5" t="s">
        <v>103</v>
      </c>
      <c r="E24" s="5" t="s">
        <v>103</v>
      </c>
      <c r="F24" s="4" t="s">
        <v>104</v>
      </c>
      <c r="G24" s="7">
        <v>30602082105535</v>
      </c>
      <c r="H24" s="7" t="str">
        <f t="shared" si="0"/>
        <v>30602082105535</v>
      </c>
      <c r="I24" s="4">
        <v>2006</v>
      </c>
      <c r="J24" s="8">
        <v>38756</v>
      </c>
      <c r="K24" s="4">
        <v>2017</v>
      </c>
      <c r="L24" s="4">
        <v>2026</v>
      </c>
      <c r="M24" s="4" t="s">
        <v>61</v>
      </c>
      <c r="N24" s="11" t="s">
        <v>348</v>
      </c>
      <c r="O24" s="4" t="s">
        <v>330</v>
      </c>
      <c r="P24" s="4" t="s">
        <v>334</v>
      </c>
      <c r="Q24" s="4" t="s">
        <v>340</v>
      </c>
    </row>
    <row r="25" spans="3:17" ht="22.5" customHeight="1" x14ac:dyDescent="0.25">
      <c r="C25" s="4" t="s">
        <v>105</v>
      </c>
      <c r="D25" s="5" t="s">
        <v>106</v>
      </c>
      <c r="E25" s="5" t="s">
        <v>106</v>
      </c>
      <c r="F25" s="4" t="s">
        <v>107</v>
      </c>
      <c r="G25" s="7">
        <v>30102232101875</v>
      </c>
      <c r="H25" s="7" t="str">
        <f t="shared" si="0"/>
        <v>30102232101875</v>
      </c>
      <c r="I25" s="4">
        <v>2001</v>
      </c>
      <c r="J25" s="8">
        <v>36945</v>
      </c>
      <c r="K25" s="4">
        <v>2013</v>
      </c>
      <c r="L25" s="4">
        <v>2023</v>
      </c>
      <c r="M25" s="4" t="s">
        <v>108</v>
      </c>
      <c r="N25" s="11" t="s">
        <v>320</v>
      </c>
      <c r="O25" s="4" t="s">
        <v>330</v>
      </c>
      <c r="P25" s="4" t="s">
        <v>80</v>
      </c>
      <c r="Q25" s="4" t="s">
        <v>340</v>
      </c>
    </row>
    <row r="26" spans="3:17" ht="22.5" customHeight="1" x14ac:dyDescent="0.25">
      <c r="C26" s="4" t="s">
        <v>109</v>
      </c>
      <c r="D26" s="5" t="s">
        <v>110</v>
      </c>
      <c r="E26" s="5" t="s">
        <v>110</v>
      </c>
      <c r="F26" s="4" t="s">
        <v>111</v>
      </c>
      <c r="G26" s="7">
        <v>30708142103998</v>
      </c>
      <c r="H26" s="7" t="str">
        <f t="shared" si="0"/>
        <v>30708142103998</v>
      </c>
      <c r="I26" s="4">
        <v>2007</v>
      </c>
      <c r="J26" s="8">
        <v>39308</v>
      </c>
      <c r="K26" s="4">
        <v>2019</v>
      </c>
      <c r="L26" s="4">
        <v>2026</v>
      </c>
      <c r="M26" s="4" t="s">
        <v>112</v>
      </c>
      <c r="N26" s="11" t="s">
        <v>348</v>
      </c>
      <c r="O26" s="4" t="s">
        <v>330</v>
      </c>
      <c r="P26" s="4" t="s">
        <v>80</v>
      </c>
      <c r="Q26" s="4" t="s">
        <v>340</v>
      </c>
    </row>
    <row r="27" spans="3:17" ht="22.5" customHeight="1" x14ac:dyDescent="0.25">
      <c r="C27" s="4" t="s">
        <v>113</v>
      </c>
      <c r="D27" s="5" t="s">
        <v>114</v>
      </c>
      <c r="E27" s="5" t="s">
        <v>114</v>
      </c>
      <c r="F27" s="4" t="s">
        <v>115</v>
      </c>
      <c r="G27" s="7">
        <v>29206172100691</v>
      </c>
      <c r="H27" s="7" t="str">
        <f t="shared" si="0"/>
        <v>29206172100691</v>
      </c>
      <c r="I27" s="4">
        <v>1992</v>
      </c>
      <c r="J27" s="8">
        <v>33772</v>
      </c>
      <c r="K27" s="4" t="s">
        <v>116</v>
      </c>
      <c r="L27" s="4" t="s">
        <v>116</v>
      </c>
      <c r="M27" s="4" t="s">
        <v>47</v>
      </c>
      <c r="N27" s="11" t="s">
        <v>322</v>
      </c>
      <c r="O27" s="4" t="s">
        <v>330</v>
      </c>
      <c r="P27" s="4"/>
      <c r="Q27" s="4" t="s">
        <v>341</v>
      </c>
    </row>
    <row r="28" spans="3:17" ht="22.5" customHeight="1" x14ac:dyDescent="0.25">
      <c r="C28" s="4" t="s">
        <v>117</v>
      </c>
      <c r="D28" s="5" t="s">
        <v>118</v>
      </c>
      <c r="E28" s="5" t="s">
        <v>118</v>
      </c>
      <c r="F28" s="4" t="s">
        <v>119</v>
      </c>
      <c r="G28" s="7">
        <v>29909302603348</v>
      </c>
      <c r="H28" s="7" t="str">
        <f t="shared" si="0"/>
        <v>29909302603348</v>
      </c>
      <c r="I28" s="4">
        <v>1999</v>
      </c>
      <c r="J28" s="8">
        <v>36433</v>
      </c>
      <c r="K28" s="4">
        <v>2017</v>
      </c>
      <c r="L28" s="4">
        <v>2026</v>
      </c>
      <c r="M28" s="4" t="s">
        <v>120</v>
      </c>
      <c r="N28" s="11" t="s">
        <v>348</v>
      </c>
      <c r="O28" s="4" t="s">
        <v>330</v>
      </c>
      <c r="P28" s="4" t="s">
        <v>80</v>
      </c>
      <c r="Q28" s="4" t="s">
        <v>340</v>
      </c>
    </row>
    <row r="29" spans="3:17" ht="22.5" customHeight="1" x14ac:dyDescent="0.25">
      <c r="C29" s="4" t="s">
        <v>121</v>
      </c>
      <c r="D29" s="5" t="s">
        <v>122</v>
      </c>
      <c r="E29" s="5" t="s">
        <v>122</v>
      </c>
      <c r="F29" s="4" t="s">
        <v>123</v>
      </c>
      <c r="G29" s="7">
        <v>29907092100817</v>
      </c>
      <c r="H29" s="7" t="str">
        <f t="shared" si="0"/>
        <v>29907092100817</v>
      </c>
      <c r="I29" s="4">
        <v>1999</v>
      </c>
      <c r="J29" s="8">
        <v>36350</v>
      </c>
      <c r="K29" s="4">
        <v>2009</v>
      </c>
      <c r="L29" s="4">
        <v>2016</v>
      </c>
      <c r="M29" s="4" t="s">
        <v>124</v>
      </c>
      <c r="N29" s="11" t="s">
        <v>319</v>
      </c>
      <c r="O29" s="4" t="s">
        <v>330</v>
      </c>
      <c r="P29" s="4" t="s">
        <v>334</v>
      </c>
      <c r="Q29" s="4" t="s">
        <v>340</v>
      </c>
    </row>
    <row r="30" spans="3:17" ht="22.5" customHeight="1" x14ac:dyDescent="0.25">
      <c r="C30" s="4" t="s">
        <v>125</v>
      </c>
      <c r="D30" s="5" t="s">
        <v>126</v>
      </c>
      <c r="E30" s="4" t="s">
        <v>127</v>
      </c>
      <c r="F30" s="4" t="s">
        <v>128</v>
      </c>
      <c r="G30" s="7">
        <v>29706022100679</v>
      </c>
      <c r="H30" s="7" t="str">
        <f t="shared" si="0"/>
        <v>29706022100679</v>
      </c>
      <c r="I30" s="4">
        <v>1997</v>
      </c>
      <c r="J30" s="8">
        <v>35583</v>
      </c>
      <c r="K30" s="4">
        <v>2006</v>
      </c>
      <c r="L30" s="4">
        <v>2013</v>
      </c>
      <c r="M30" s="4" t="s">
        <v>124</v>
      </c>
      <c r="N30" s="11" t="s">
        <v>320</v>
      </c>
      <c r="O30" s="4" t="s">
        <v>330</v>
      </c>
      <c r="P30" s="4" t="s">
        <v>338</v>
      </c>
      <c r="Q30" s="4" t="s">
        <v>341</v>
      </c>
    </row>
    <row r="31" spans="3:17" ht="22.5" customHeight="1" x14ac:dyDescent="0.25">
      <c r="C31" s="4" t="s">
        <v>129</v>
      </c>
      <c r="D31" s="5" t="s">
        <v>130</v>
      </c>
      <c r="E31" s="5" t="s">
        <v>130</v>
      </c>
      <c r="F31" s="4" t="s">
        <v>131</v>
      </c>
      <c r="G31" s="7">
        <v>30402202105292</v>
      </c>
      <c r="H31" s="7" t="str">
        <f t="shared" si="0"/>
        <v>30402202105292</v>
      </c>
      <c r="I31" s="4">
        <v>2004</v>
      </c>
      <c r="J31" s="8">
        <v>38037</v>
      </c>
      <c r="K31" s="4">
        <v>2015</v>
      </c>
      <c r="L31" s="4">
        <v>2025</v>
      </c>
      <c r="M31" s="4" t="s">
        <v>132</v>
      </c>
      <c r="N31" s="11" t="s">
        <v>348</v>
      </c>
      <c r="O31" s="4" t="s">
        <v>330</v>
      </c>
      <c r="P31" s="4" t="s">
        <v>334</v>
      </c>
      <c r="Q31" s="4" t="s">
        <v>340</v>
      </c>
    </row>
    <row r="32" spans="3:17" ht="22.5" customHeight="1" x14ac:dyDescent="0.25">
      <c r="C32" s="4" t="s">
        <v>133</v>
      </c>
      <c r="D32" s="5" t="s">
        <v>134</v>
      </c>
      <c r="E32" s="5" t="s">
        <v>134</v>
      </c>
      <c r="F32" s="4" t="s">
        <v>135</v>
      </c>
      <c r="G32" s="7">
        <v>29504232102231</v>
      </c>
      <c r="H32" s="7" t="str">
        <f t="shared" si="0"/>
        <v>29504232102231</v>
      </c>
      <c r="I32" s="4">
        <v>1995</v>
      </c>
      <c r="J32" s="8">
        <v>34812</v>
      </c>
      <c r="K32" s="4">
        <v>2004</v>
      </c>
      <c r="L32" s="4">
        <v>2013</v>
      </c>
      <c r="M32" s="4" t="s">
        <v>75</v>
      </c>
      <c r="N32" s="13" t="s">
        <v>322</v>
      </c>
      <c r="O32" s="4" t="s">
        <v>330</v>
      </c>
      <c r="P32" s="4"/>
      <c r="Q32" s="4"/>
    </row>
    <row r="33" spans="3:18" ht="22.5" customHeight="1" x14ac:dyDescent="0.25">
      <c r="C33" s="4" t="s">
        <v>136</v>
      </c>
      <c r="D33" s="4" t="s">
        <v>137</v>
      </c>
      <c r="E33" s="4" t="s">
        <v>138</v>
      </c>
      <c r="F33" s="4" t="s">
        <v>139</v>
      </c>
      <c r="G33" s="7">
        <v>28501072103852</v>
      </c>
      <c r="H33" s="7" t="str">
        <f t="shared" si="0"/>
        <v>28501072103852</v>
      </c>
      <c r="I33" s="4" t="s">
        <v>140</v>
      </c>
      <c r="J33" s="8">
        <v>31054</v>
      </c>
      <c r="K33" s="4" t="s">
        <v>141</v>
      </c>
      <c r="L33" s="4" t="s">
        <v>142</v>
      </c>
      <c r="M33" s="4" t="s">
        <v>143</v>
      </c>
      <c r="N33" s="11" t="s">
        <v>319</v>
      </c>
      <c r="O33" s="4" t="s">
        <v>330</v>
      </c>
      <c r="P33" s="4" t="s">
        <v>338</v>
      </c>
      <c r="Q33" s="4" t="s">
        <v>341</v>
      </c>
    </row>
    <row r="34" spans="3:18" ht="22.5" customHeight="1" x14ac:dyDescent="0.25">
      <c r="C34" s="4" t="s">
        <v>144</v>
      </c>
      <c r="D34" s="5" t="s">
        <v>145</v>
      </c>
      <c r="E34" s="5" t="s">
        <v>145</v>
      </c>
      <c r="F34" s="4" t="s">
        <v>146</v>
      </c>
      <c r="G34" s="7">
        <v>30511152105877</v>
      </c>
      <c r="H34" s="7" t="str">
        <f t="shared" ref="H34:H65" si="1">IF(ISNUMBER(G34),TEXT(G34,"0"),G34)</f>
        <v>30511152105877</v>
      </c>
      <c r="I34" s="4">
        <v>2005</v>
      </c>
      <c r="J34" s="8">
        <v>38671</v>
      </c>
      <c r="K34" s="4">
        <v>2017</v>
      </c>
      <c r="L34" s="4">
        <v>2025</v>
      </c>
      <c r="M34" s="4" t="s">
        <v>147</v>
      </c>
      <c r="N34" s="11" t="s">
        <v>348</v>
      </c>
      <c r="O34" s="4" t="s">
        <v>330</v>
      </c>
      <c r="P34" s="4" t="s">
        <v>331</v>
      </c>
      <c r="Q34" s="4" t="s">
        <v>342</v>
      </c>
    </row>
    <row r="35" spans="3:18" ht="22.5" customHeight="1" x14ac:dyDescent="0.25">
      <c r="C35" s="4" t="s">
        <v>148</v>
      </c>
      <c r="D35" s="5" t="s">
        <v>149</v>
      </c>
      <c r="E35" s="5" t="s">
        <v>150</v>
      </c>
      <c r="F35" s="4" t="s">
        <v>151</v>
      </c>
      <c r="G35" s="7">
        <v>30608030105942</v>
      </c>
      <c r="H35" s="7" t="str">
        <f t="shared" si="1"/>
        <v>30608030105942</v>
      </c>
      <c r="I35" s="4">
        <v>2006</v>
      </c>
      <c r="J35" s="8">
        <v>38932</v>
      </c>
      <c r="K35" s="4">
        <v>2017</v>
      </c>
      <c r="L35" s="4">
        <v>2026</v>
      </c>
      <c r="M35" s="4" t="s">
        <v>152</v>
      </c>
      <c r="N35" s="11" t="s">
        <v>348</v>
      </c>
      <c r="O35" s="4" t="s">
        <v>330</v>
      </c>
      <c r="P35" s="4" t="s">
        <v>331</v>
      </c>
      <c r="Q35" s="4" t="s">
        <v>342</v>
      </c>
    </row>
    <row r="36" spans="3:18" ht="22.5" customHeight="1" x14ac:dyDescent="0.25">
      <c r="C36" s="4" t="s">
        <v>153</v>
      </c>
      <c r="D36" s="5" t="s">
        <v>154</v>
      </c>
      <c r="E36" s="5" t="s">
        <v>154</v>
      </c>
      <c r="F36" s="4" t="s">
        <v>155</v>
      </c>
      <c r="G36" s="7">
        <v>29901012123112</v>
      </c>
      <c r="H36" s="7" t="str">
        <f t="shared" si="1"/>
        <v>29901012123112</v>
      </c>
      <c r="I36" s="4">
        <v>1999</v>
      </c>
      <c r="J36" s="8">
        <v>36161</v>
      </c>
      <c r="K36" s="4">
        <v>2005</v>
      </c>
      <c r="L36" s="4">
        <v>2012</v>
      </c>
      <c r="M36" s="4" t="s">
        <v>156</v>
      </c>
      <c r="N36" s="11" t="s">
        <v>348</v>
      </c>
      <c r="O36" s="4" t="s">
        <v>330</v>
      </c>
      <c r="P36" s="4" t="s">
        <v>338</v>
      </c>
      <c r="Q36" s="4" t="s">
        <v>341</v>
      </c>
    </row>
    <row r="37" spans="3:18" ht="22.5" customHeight="1" x14ac:dyDescent="0.25">
      <c r="C37" s="4" t="s">
        <v>157</v>
      </c>
      <c r="D37" s="5" t="s">
        <v>158</v>
      </c>
      <c r="E37" s="5" t="s">
        <v>158</v>
      </c>
      <c r="F37" s="4" t="s">
        <v>159</v>
      </c>
      <c r="G37" s="7">
        <v>30303262201535</v>
      </c>
      <c r="H37" s="7" t="str">
        <f t="shared" si="1"/>
        <v>30303262201535</v>
      </c>
      <c r="I37" s="4">
        <v>2003</v>
      </c>
      <c r="J37" s="8">
        <v>37701</v>
      </c>
      <c r="K37" s="4">
        <v>2012</v>
      </c>
      <c r="L37" s="4">
        <v>2021</v>
      </c>
      <c r="M37" s="4" t="s">
        <v>55</v>
      </c>
      <c r="N37" s="11" t="s">
        <v>348</v>
      </c>
      <c r="O37" s="4" t="s">
        <v>330</v>
      </c>
      <c r="P37" s="4" t="s">
        <v>338</v>
      </c>
      <c r="Q37" s="4" t="s">
        <v>341</v>
      </c>
    </row>
    <row r="38" spans="3:18" ht="22.5" customHeight="1" x14ac:dyDescent="0.25">
      <c r="C38" s="4" t="s">
        <v>160</v>
      </c>
      <c r="D38" s="5" t="s">
        <v>161</v>
      </c>
      <c r="E38" s="5" t="s">
        <v>161</v>
      </c>
      <c r="F38" s="4" t="s">
        <v>162</v>
      </c>
      <c r="G38" s="7">
        <v>30705082104427</v>
      </c>
      <c r="H38" s="7" t="str">
        <f t="shared" si="1"/>
        <v>30705082104427</v>
      </c>
      <c r="I38" s="4">
        <v>2007</v>
      </c>
      <c r="J38" s="8">
        <v>39210</v>
      </c>
      <c r="K38" s="4">
        <v>2016</v>
      </c>
      <c r="L38" s="4">
        <v>2025</v>
      </c>
      <c r="M38" s="4" t="s">
        <v>152</v>
      </c>
      <c r="N38" s="11" t="s">
        <v>348</v>
      </c>
      <c r="O38" s="4" t="s">
        <v>330</v>
      </c>
      <c r="P38" s="4" t="s">
        <v>338</v>
      </c>
      <c r="Q38" s="4" t="s">
        <v>341</v>
      </c>
    </row>
    <row r="39" spans="3:18" ht="22.5" customHeight="1" x14ac:dyDescent="0.25">
      <c r="C39" s="4" t="s">
        <v>163</v>
      </c>
      <c r="D39" s="5" t="s">
        <v>164</v>
      </c>
      <c r="E39" s="5" t="s">
        <v>164</v>
      </c>
      <c r="F39" s="4" t="s">
        <v>165</v>
      </c>
      <c r="G39" s="7">
        <v>30209162103181</v>
      </c>
      <c r="H39" s="7" t="str">
        <f t="shared" si="1"/>
        <v>30209162103181</v>
      </c>
      <c r="I39" s="4">
        <v>2002</v>
      </c>
      <c r="J39" s="8">
        <v>37515</v>
      </c>
      <c r="K39" s="4">
        <v>2008</v>
      </c>
      <c r="L39" s="4">
        <v>2023</v>
      </c>
      <c r="M39" s="4" t="s">
        <v>152</v>
      </c>
      <c r="N39" s="11" t="s">
        <v>348</v>
      </c>
      <c r="O39" s="4" t="s">
        <v>330</v>
      </c>
      <c r="P39" s="4" t="s">
        <v>331</v>
      </c>
      <c r="Q39" s="4" t="s">
        <v>342</v>
      </c>
    </row>
    <row r="40" spans="3:18" ht="22.5" customHeight="1" x14ac:dyDescent="0.25">
      <c r="C40" s="4" t="s">
        <v>166</v>
      </c>
      <c r="D40" s="5" t="s">
        <v>167</v>
      </c>
      <c r="E40" s="5" t="s">
        <v>167</v>
      </c>
      <c r="F40" s="4" t="s">
        <v>168</v>
      </c>
      <c r="G40" s="7">
        <v>30303262100909</v>
      </c>
      <c r="H40" s="7" t="str">
        <f t="shared" si="1"/>
        <v>30303262100909</v>
      </c>
      <c r="I40" s="4">
        <v>2003</v>
      </c>
      <c r="J40" s="8">
        <v>37706</v>
      </c>
      <c r="K40" s="4">
        <v>2014</v>
      </c>
      <c r="L40" s="5" t="s">
        <v>169</v>
      </c>
      <c r="M40" s="4" t="s">
        <v>23</v>
      </c>
      <c r="N40" s="11" t="s">
        <v>348</v>
      </c>
      <c r="O40" s="4" t="s">
        <v>330</v>
      </c>
      <c r="P40" s="4" t="s">
        <v>338</v>
      </c>
      <c r="Q40" s="4" t="s">
        <v>343</v>
      </c>
      <c r="R40" s="12"/>
    </row>
    <row r="41" spans="3:18" ht="22.5" customHeight="1" x14ac:dyDescent="0.25">
      <c r="C41" s="4" t="s">
        <v>170</v>
      </c>
      <c r="D41" s="5" t="s">
        <v>171</v>
      </c>
      <c r="E41" s="5" t="s">
        <v>171</v>
      </c>
      <c r="F41" s="4" t="s">
        <v>172</v>
      </c>
      <c r="G41" s="7">
        <v>29506262601196</v>
      </c>
      <c r="H41" s="7" t="str">
        <f t="shared" si="1"/>
        <v>29506262601196</v>
      </c>
      <c r="I41" s="4">
        <v>1995</v>
      </c>
      <c r="J41" s="8">
        <v>34876</v>
      </c>
      <c r="K41" s="5" t="s">
        <v>173</v>
      </c>
      <c r="L41" s="4" t="s">
        <v>174</v>
      </c>
      <c r="M41" s="4" t="s">
        <v>175</v>
      </c>
      <c r="N41" s="11" t="s">
        <v>319</v>
      </c>
      <c r="O41" s="4" t="s">
        <v>330</v>
      </c>
      <c r="P41" s="4" t="s">
        <v>346</v>
      </c>
      <c r="Q41" s="4" t="s">
        <v>344</v>
      </c>
    </row>
    <row r="42" spans="3:18" ht="22.5" customHeight="1" x14ac:dyDescent="0.25">
      <c r="C42" s="4" t="s">
        <v>176</v>
      </c>
      <c r="D42" s="5" t="s">
        <v>177</v>
      </c>
      <c r="E42" s="5" t="s">
        <v>177</v>
      </c>
      <c r="F42" s="4" t="s">
        <v>178</v>
      </c>
      <c r="G42" s="7">
        <v>30402042102518</v>
      </c>
      <c r="H42" s="7" t="str">
        <f t="shared" si="1"/>
        <v>30402042102518</v>
      </c>
      <c r="I42" s="4">
        <v>2004</v>
      </c>
      <c r="J42" s="8">
        <v>38021</v>
      </c>
      <c r="K42" s="4">
        <v>2012</v>
      </c>
      <c r="L42" s="4">
        <v>2023</v>
      </c>
      <c r="M42" s="4" t="s">
        <v>179</v>
      </c>
      <c r="N42" s="11" t="s">
        <v>320</v>
      </c>
      <c r="O42" s="4" t="s">
        <v>330</v>
      </c>
      <c r="P42" s="4" t="s">
        <v>80</v>
      </c>
      <c r="Q42" s="4" t="s">
        <v>340</v>
      </c>
    </row>
    <row r="43" spans="3:18" ht="22.5" customHeight="1" x14ac:dyDescent="0.25">
      <c r="C43" s="4" t="s">
        <v>180</v>
      </c>
      <c r="D43" s="5" t="s">
        <v>181</v>
      </c>
      <c r="E43" s="5" t="s">
        <v>181</v>
      </c>
      <c r="F43" s="4" t="s">
        <v>182</v>
      </c>
      <c r="G43" s="7">
        <v>29809080104297</v>
      </c>
      <c r="H43" s="7" t="str">
        <f t="shared" si="1"/>
        <v>29809080104297</v>
      </c>
      <c r="I43" s="4">
        <v>1998</v>
      </c>
      <c r="J43" s="8">
        <v>36046</v>
      </c>
      <c r="K43" s="4">
        <v>2013</v>
      </c>
      <c r="L43" s="4">
        <v>2012</v>
      </c>
      <c r="M43" s="4" t="s">
        <v>183</v>
      </c>
      <c r="N43" s="11" t="s">
        <v>348</v>
      </c>
      <c r="O43" s="4" t="s">
        <v>330</v>
      </c>
      <c r="P43" s="4" t="s">
        <v>336</v>
      </c>
      <c r="Q43" s="4" t="s">
        <v>341</v>
      </c>
      <c r="R43" s="12"/>
    </row>
    <row r="44" spans="3:18" ht="22.5" customHeight="1" x14ac:dyDescent="0.25">
      <c r="C44" s="4" t="s">
        <v>184</v>
      </c>
      <c r="D44" s="5" t="s">
        <v>185</v>
      </c>
      <c r="E44" s="5" t="s">
        <v>185</v>
      </c>
      <c r="F44" s="4" t="s">
        <v>186</v>
      </c>
      <c r="G44" s="7">
        <v>30803092102211</v>
      </c>
      <c r="H44" s="7" t="str">
        <f t="shared" si="1"/>
        <v>30803092102211</v>
      </c>
      <c r="I44" s="4">
        <v>2008</v>
      </c>
      <c r="J44" s="8">
        <v>39516</v>
      </c>
      <c r="K44" s="4">
        <v>2014</v>
      </c>
      <c r="L44" s="4">
        <v>2025</v>
      </c>
      <c r="M44" s="4" t="s">
        <v>152</v>
      </c>
      <c r="N44" s="11" t="s">
        <v>348</v>
      </c>
      <c r="O44" s="4" t="s">
        <v>330</v>
      </c>
      <c r="P44" s="4" t="s">
        <v>346</v>
      </c>
      <c r="Q44" s="4" t="s">
        <v>344</v>
      </c>
    </row>
    <row r="45" spans="3:18" ht="22.5" customHeight="1" x14ac:dyDescent="0.25">
      <c r="C45" s="4" t="s">
        <v>187</v>
      </c>
      <c r="D45" s="5" t="s">
        <v>188</v>
      </c>
      <c r="E45" s="5" t="s">
        <v>188</v>
      </c>
      <c r="F45" s="4" t="s">
        <v>189</v>
      </c>
      <c r="G45" s="7">
        <v>30904122101259</v>
      </c>
      <c r="H45" s="7" t="str">
        <f t="shared" si="1"/>
        <v>30904122101259</v>
      </c>
      <c r="I45" s="4">
        <v>2009</v>
      </c>
      <c r="J45" s="8">
        <v>39915</v>
      </c>
      <c r="K45" s="4">
        <v>2015</v>
      </c>
      <c r="L45" s="4">
        <v>2025</v>
      </c>
      <c r="M45" s="4" t="s">
        <v>147</v>
      </c>
      <c r="N45" s="11" t="s">
        <v>348</v>
      </c>
      <c r="O45" s="4" t="s">
        <v>330</v>
      </c>
      <c r="P45" s="4" t="s">
        <v>346</v>
      </c>
      <c r="Q45" s="4" t="s">
        <v>344</v>
      </c>
    </row>
    <row r="46" spans="3:18" ht="22.5" customHeight="1" x14ac:dyDescent="0.25">
      <c r="C46" s="4" t="s">
        <v>190</v>
      </c>
      <c r="D46" s="5" t="s">
        <v>191</v>
      </c>
      <c r="E46" s="5" t="s">
        <v>191</v>
      </c>
      <c r="F46" s="4" t="s">
        <v>192</v>
      </c>
      <c r="G46" s="7">
        <v>30401222103095</v>
      </c>
      <c r="H46" s="7" t="str">
        <f t="shared" si="1"/>
        <v>30401222103095</v>
      </c>
      <c r="I46" s="4">
        <v>2004</v>
      </c>
      <c r="J46" s="8">
        <v>38008</v>
      </c>
      <c r="K46" s="4">
        <v>2011</v>
      </c>
      <c r="L46" s="4">
        <v>2022</v>
      </c>
      <c r="M46" s="4" t="s">
        <v>193</v>
      </c>
      <c r="N46" s="11" t="s">
        <v>320</v>
      </c>
      <c r="O46" s="4" t="s">
        <v>330</v>
      </c>
      <c r="P46" s="4" t="s">
        <v>332</v>
      </c>
      <c r="Q46" s="4" t="s">
        <v>342</v>
      </c>
    </row>
    <row r="47" spans="3:18" ht="22.5" customHeight="1" x14ac:dyDescent="0.25">
      <c r="C47" s="4" t="s">
        <v>194</v>
      </c>
      <c r="D47" s="5" t="s">
        <v>195</v>
      </c>
      <c r="E47" s="5" t="s">
        <v>195</v>
      </c>
      <c r="F47" s="4" t="s">
        <v>196</v>
      </c>
      <c r="G47" s="7">
        <v>30710012113732</v>
      </c>
      <c r="H47" s="7" t="str">
        <f t="shared" si="1"/>
        <v>30710012113732</v>
      </c>
      <c r="I47" s="4">
        <v>2006</v>
      </c>
      <c r="J47" s="8">
        <v>38991</v>
      </c>
      <c r="K47" s="4">
        <v>2016</v>
      </c>
      <c r="L47" s="4">
        <v>2025</v>
      </c>
      <c r="M47" s="4" t="s">
        <v>197</v>
      </c>
      <c r="N47" s="11" t="s">
        <v>348</v>
      </c>
      <c r="O47" s="4" t="s">
        <v>330</v>
      </c>
      <c r="P47" s="4" t="s">
        <v>331</v>
      </c>
      <c r="Q47" s="4" t="s">
        <v>342</v>
      </c>
    </row>
    <row r="48" spans="3:18" ht="22.5" customHeight="1" x14ac:dyDescent="0.25">
      <c r="C48" s="4" t="s">
        <v>198</v>
      </c>
      <c r="D48" s="5" t="s">
        <v>199</v>
      </c>
      <c r="E48" s="5" t="s">
        <v>199</v>
      </c>
      <c r="F48" s="4" t="s">
        <v>200</v>
      </c>
      <c r="G48" s="7">
        <v>29712172100588</v>
      </c>
      <c r="H48" s="7" t="str">
        <f t="shared" si="1"/>
        <v>29712172100588</v>
      </c>
      <c r="I48" s="4">
        <v>1997</v>
      </c>
      <c r="J48" s="8">
        <v>35781</v>
      </c>
      <c r="K48" s="4">
        <v>2013</v>
      </c>
      <c r="L48" s="4" t="s">
        <v>201</v>
      </c>
      <c r="M48" s="4" t="s">
        <v>10</v>
      </c>
      <c r="N48" s="11" t="s">
        <v>320</v>
      </c>
      <c r="O48" s="4" t="s">
        <v>330</v>
      </c>
      <c r="P48" s="4" t="s">
        <v>202</v>
      </c>
      <c r="Q48" s="4" t="s">
        <v>345</v>
      </c>
    </row>
    <row r="49" spans="3:17" ht="22.5" customHeight="1" x14ac:dyDescent="0.25">
      <c r="C49" s="4" t="s">
        <v>203</v>
      </c>
      <c r="D49" s="5" t="s">
        <v>204</v>
      </c>
      <c r="E49" s="5" t="s">
        <v>204</v>
      </c>
      <c r="F49" s="4" t="s">
        <v>205</v>
      </c>
      <c r="G49" s="7">
        <v>29604218800132</v>
      </c>
      <c r="H49" s="7" t="str">
        <f t="shared" si="1"/>
        <v>29604218800132</v>
      </c>
      <c r="I49" s="4">
        <v>1996</v>
      </c>
      <c r="J49" s="8">
        <v>35176</v>
      </c>
      <c r="K49" s="4">
        <v>2002</v>
      </c>
      <c r="L49" s="4">
        <v>2011</v>
      </c>
      <c r="M49" s="4" t="s">
        <v>179</v>
      </c>
      <c r="N49" s="11" t="s">
        <v>348</v>
      </c>
      <c r="O49" s="4" t="s">
        <v>330</v>
      </c>
      <c r="P49" s="4" t="s">
        <v>337</v>
      </c>
      <c r="Q49" s="4" t="s">
        <v>341</v>
      </c>
    </row>
    <row r="50" spans="3:17" ht="22.5" customHeight="1" x14ac:dyDescent="0.25">
      <c r="C50" s="4" t="s">
        <v>206</v>
      </c>
      <c r="D50" s="5" t="s">
        <v>207</v>
      </c>
      <c r="E50" s="5" t="s">
        <v>207</v>
      </c>
      <c r="F50" s="4" t="s">
        <v>208</v>
      </c>
      <c r="G50" s="7">
        <v>28702142103435</v>
      </c>
      <c r="H50" s="7" t="str">
        <f t="shared" si="1"/>
        <v>28702142103435</v>
      </c>
      <c r="I50" s="4">
        <v>1978</v>
      </c>
      <c r="J50" s="8">
        <v>31822</v>
      </c>
      <c r="K50" s="4">
        <v>2007</v>
      </c>
      <c r="L50" s="4" t="s">
        <v>209</v>
      </c>
      <c r="M50" s="4" t="s">
        <v>210</v>
      </c>
      <c r="N50" s="11" t="s">
        <v>320</v>
      </c>
      <c r="O50" s="4" t="s">
        <v>330</v>
      </c>
      <c r="P50" s="4" t="s">
        <v>337</v>
      </c>
      <c r="Q50" s="4" t="s">
        <v>341</v>
      </c>
    </row>
    <row r="51" spans="3:17" ht="22.5" customHeight="1" x14ac:dyDescent="0.25">
      <c r="C51" s="4" t="s">
        <v>211</v>
      </c>
      <c r="D51" s="5" t="s">
        <v>212</v>
      </c>
      <c r="E51" s="5" t="s">
        <v>212</v>
      </c>
      <c r="F51" s="4" t="s">
        <v>213</v>
      </c>
      <c r="G51" s="7">
        <v>30708210105635</v>
      </c>
      <c r="H51" s="7" t="str">
        <f t="shared" si="1"/>
        <v>30708210105635</v>
      </c>
      <c r="I51" s="4">
        <v>2007</v>
      </c>
      <c r="J51" s="8">
        <v>39315</v>
      </c>
      <c r="K51" s="4">
        <v>2015</v>
      </c>
      <c r="L51" s="4">
        <v>2025</v>
      </c>
      <c r="M51" s="4" t="s">
        <v>55</v>
      </c>
      <c r="N51" s="11" t="s">
        <v>348</v>
      </c>
      <c r="O51" s="4" t="s">
        <v>330</v>
      </c>
      <c r="P51" s="4" t="s">
        <v>346</v>
      </c>
      <c r="Q51" s="4" t="s">
        <v>344</v>
      </c>
    </row>
    <row r="52" spans="3:17" ht="22.5" customHeight="1" x14ac:dyDescent="0.25">
      <c r="C52" s="4" t="s">
        <v>214</v>
      </c>
      <c r="D52" s="5" t="s">
        <v>215</v>
      </c>
      <c r="E52" s="5" t="s">
        <v>215</v>
      </c>
      <c r="F52" s="4" t="s">
        <v>216</v>
      </c>
      <c r="G52" s="7">
        <v>30302052502412</v>
      </c>
      <c r="H52" s="7" t="str">
        <f t="shared" si="1"/>
        <v>30302052502412</v>
      </c>
      <c r="I52" s="5" t="s">
        <v>217</v>
      </c>
      <c r="J52" s="8">
        <v>37657</v>
      </c>
      <c r="K52" s="5" t="s">
        <v>218</v>
      </c>
      <c r="L52" s="5" t="s">
        <v>219</v>
      </c>
      <c r="M52" s="4" t="s">
        <v>179</v>
      </c>
      <c r="N52" s="11" t="s">
        <v>348</v>
      </c>
      <c r="O52" s="4" t="s">
        <v>330</v>
      </c>
      <c r="P52" s="4" t="s">
        <v>336</v>
      </c>
      <c r="Q52" s="4" t="s">
        <v>341</v>
      </c>
    </row>
    <row r="53" spans="3:17" ht="22.5" customHeight="1" x14ac:dyDescent="0.25">
      <c r="C53" s="4" t="s">
        <v>220</v>
      </c>
      <c r="D53" s="5" t="s">
        <v>221</v>
      </c>
      <c r="E53" s="5" t="s">
        <v>221</v>
      </c>
      <c r="F53" s="4" t="s">
        <v>222</v>
      </c>
      <c r="G53" s="7">
        <v>30202252104557</v>
      </c>
      <c r="H53" s="7" t="str">
        <f t="shared" si="1"/>
        <v>30202252104557</v>
      </c>
      <c r="I53" s="4">
        <v>2002</v>
      </c>
      <c r="J53" s="8">
        <v>37312</v>
      </c>
      <c r="K53" s="4">
        <v>2009</v>
      </c>
      <c r="L53" s="4">
        <v>2020</v>
      </c>
      <c r="M53" s="4" t="s">
        <v>55</v>
      </c>
      <c r="N53" s="11" t="s">
        <v>320</v>
      </c>
      <c r="O53" s="4" t="s">
        <v>330</v>
      </c>
      <c r="P53" s="4" t="s">
        <v>339</v>
      </c>
      <c r="Q53" s="4" t="s">
        <v>341</v>
      </c>
    </row>
    <row r="54" spans="3:17" ht="22.5" customHeight="1" x14ac:dyDescent="0.25">
      <c r="C54" s="4" t="s">
        <v>223</v>
      </c>
      <c r="D54" s="5" t="s">
        <v>224</v>
      </c>
      <c r="E54" s="5" t="s">
        <v>224</v>
      </c>
      <c r="F54" s="4" t="s">
        <v>225</v>
      </c>
      <c r="G54" s="7">
        <v>30607202104254</v>
      </c>
      <c r="H54" s="7" t="str">
        <f t="shared" si="1"/>
        <v>30607202104254</v>
      </c>
      <c r="I54" s="4">
        <v>2006</v>
      </c>
      <c r="J54" s="8">
        <v>38918</v>
      </c>
      <c r="K54" s="4">
        <v>2016</v>
      </c>
      <c r="L54" s="4">
        <v>2024</v>
      </c>
      <c r="M54" s="4" t="s">
        <v>226</v>
      </c>
      <c r="N54" s="11" t="s">
        <v>348</v>
      </c>
      <c r="O54" s="4" t="s">
        <v>330</v>
      </c>
      <c r="P54" s="4" t="s">
        <v>332</v>
      </c>
      <c r="Q54" s="4" t="s">
        <v>342</v>
      </c>
    </row>
    <row r="55" spans="3:17" ht="22.5" customHeight="1" x14ac:dyDescent="0.25">
      <c r="C55" s="4" t="s">
        <v>227</v>
      </c>
      <c r="D55" s="5" t="s">
        <v>228</v>
      </c>
      <c r="E55" s="5" t="s">
        <v>228</v>
      </c>
      <c r="F55" s="4" t="s">
        <v>229</v>
      </c>
      <c r="G55" s="7">
        <v>30508132103478</v>
      </c>
      <c r="H55" s="7" t="str">
        <f t="shared" si="1"/>
        <v>30508132103478</v>
      </c>
      <c r="I55" s="4">
        <v>2005</v>
      </c>
      <c r="J55" s="8">
        <v>38577</v>
      </c>
      <c r="K55" s="4">
        <v>2013</v>
      </c>
      <c r="L55" s="4">
        <v>2023</v>
      </c>
      <c r="M55" s="4" t="s">
        <v>230</v>
      </c>
      <c r="N55" s="11" t="s">
        <v>320</v>
      </c>
      <c r="O55" s="4" t="s">
        <v>330</v>
      </c>
      <c r="P55" s="4" t="s">
        <v>335</v>
      </c>
      <c r="Q55" s="4" t="s">
        <v>340</v>
      </c>
    </row>
    <row r="56" spans="3:17" ht="22.5" customHeight="1" x14ac:dyDescent="0.25">
      <c r="C56" s="4" t="s">
        <v>231</v>
      </c>
      <c r="D56" s="5" t="s">
        <v>232</v>
      </c>
      <c r="E56" s="5" t="s">
        <v>232</v>
      </c>
      <c r="F56" s="4" t="s">
        <v>233</v>
      </c>
      <c r="G56" s="7">
        <v>29705232100411</v>
      </c>
      <c r="H56" s="7" t="str">
        <f t="shared" si="1"/>
        <v>29705232100411</v>
      </c>
      <c r="I56" s="4">
        <v>1997</v>
      </c>
      <c r="J56" s="8">
        <v>46165</v>
      </c>
      <c r="K56" s="4">
        <v>2007</v>
      </c>
      <c r="L56" s="4">
        <v>2016</v>
      </c>
      <c r="M56" s="4" t="s">
        <v>234</v>
      </c>
      <c r="N56" s="11" t="s">
        <v>348</v>
      </c>
      <c r="O56" s="4" t="s">
        <v>330</v>
      </c>
      <c r="P56" s="4" t="s">
        <v>332</v>
      </c>
      <c r="Q56" s="4" t="s">
        <v>342</v>
      </c>
    </row>
    <row r="57" spans="3:17" ht="22.5" customHeight="1" x14ac:dyDescent="0.25">
      <c r="C57" s="4" t="s">
        <v>235</v>
      </c>
      <c r="D57" s="5" t="s">
        <v>236</v>
      </c>
      <c r="E57" s="5" t="s">
        <v>236</v>
      </c>
      <c r="F57" s="4" t="s">
        <v>237</v>
      </c>
      <c r="G57" s="7">
        <v>30602082700727</v>
      </c>
      <c r="H57" s="7" t="str">
        <f t="shared" si="1"/>
        <v>30602082700727</v>
      </c>
      <c r="I57" s="4">
        <v>2006</v>
      </c>
      <c r="J57" s="8">
        <v>38756</v>
      </c>
      <c r="K57" s="4">
        <v>2012</v>
      </c>
      <c r="L57" s="4">
        <v>2022</v>
      </c>
      <c r="M57" s="4" t="s">
        <v>179</v>
      </c>
      <c r="N57" s="11" t="s">
        <v>348</v>
      </c>
      <c r="O57" s="4" t="s">
        <v>330</v>
      </c>
      <c r="P57" s="4" t="s">
        <v>333</v>
      </c>
      <c r="Q57" s="4" t="s">
        <v>342</v>
      </c>
    </row>
    <row r="58" spans="3:17" ht="22.5" customHeight="1" x14ac:dyDescent="0.25">
      <c r="C58" s="4" t="s">
        <v>238</v>
      </c>
      <c r="D58" s="5" t="s">
        <v>239</v>
      </c>
      <c r="E58" s="5" t="s">
        <v>239</v>
      </c>
      <c r="F58" s="4" t="s">
        <v>240</v>
      </c>
      <c r="G58" s="7">
        <v>29901012617441</v>
      </c>
      <c r="H58" s="7" t="str">
        <f t="shared" si="1"/>
        <v>29901012617441</v>
      </c>
      <c r="I58" s="4">
        <v>1998</v>
      </c>
      <c r="J58" s="8">
        <v>36143</v>
      </c>
      <c r="K58" s="4">
        <v>2010</v>
      </c>
      <c r="L58" s="4">
        <v>2019</v>
      </c>
      <c r="M58" s="4" t="s">
        <v>241</v>
      </c>
      <c r="N58" s="11" t="s">
        <v>348</v>
      </c>
      <c r="O58" s="4" t="s">
        <v>330</v>
      </c>
      <c r="P58" s="4" t="s">
        <v>333</v>
      </c>
      <c r="Q58" s="4" t="s">
        <v>342</v>
      </c>
    </row>
    <row r="59" spans="3:17" ht="22.5" customHeight="1" x14ac:dyDescent="0.25">
      <c r="C59" s="4" t="s">
        <v>242</v>
      </c>
      <c r="D59" s="5" t="s">
        <v>243</v>
      </c>
      <c r="E59" s="5" t="s">
        <v>243</v>
      </c>
      <c r="F59" s="4" t="s">
        <v>244</v>
      </c>
      <c r="G59" s="7">
        <v>30201292101007</v>
      </c>
      <c r="H59" s="7" t="str">
        <f t="shared" si="1"/>
        <v>30201292101007</v>
      </c>
      <c r="I59" s="4">
        <v>2002</v>
      </c>
      <c r="J59" s="8">
        <v>37285</v>
      </c>
      <c r="K59" s="5" t="s">
        <v>245</v>
      </c>
      <c r="L59" s="4" t="s">
        <v>246</v>
      </c>
      <c r="M59" s="4" t="s">
        <v>247</v>
      </c>
      <c r="N59" s="11" t="s">
        <v>348</v>
      </c>
      <c r="O59" s="4" t="s">
        <v>330</v>
      </c>
      <c r="P59" s="4" t="s">
        <v>338</v>
      </c>
      <c r="Q59" s="4" t="s">
        <v>341</v>
      </c>
    </row>
    <row r="60" spans="3:17" ht="22.5" customHeight="1" x14ac:dyDescent="0.25">
      <c r="C60" s="4" t="s">
        <v>248</v>
      </c>
      <c r="D60" s="5" t="s">
        <v>249</v>
      </c>
      <c r="E60" s="5" t="s">
        <v>249</v>
      </c>
      <c r="F60" s="4" t="s">
        <v>250</v>
      </c>
      <c r="G60" s="7">
        <v>29602222102919</v>
      </c>
      <c r="H60" s="7" t="str">
        <f t="shared" si="1"/>
        <v>29602222102919</v>
      </c>
      <c r="I60" s="4">
        <v>1996</v>
      </c>
      <c r="J60" s="8">
        <v>35117</v>
      </c>
      <c r="K60" s="4">
        <v>2009</v>
      </c>
      <c r="L60" s="4">
        <v>2014</v>
      </c>
      <c r="M60" s="4" t="s">
        <v>251</v>
      </c>
      <c r="N60" s="11" t="s">
        <v>348</v>
      </c>
      <c r="O60" s="4" t="s">
        <v>330</v>
      </c>
      <c r="P60" s="4" t="s">
        <v>252</v>
      </c>
      <c r="Q60" s="4" t="s">
        <v>340</v>
      </c>
    </row>
    <row r="61" spans="3:17" ht="22.5" customHeight="1" x14ac:dyDescent="0.25">
      <c r="C61" s="4" t="s">
        <v>253</v>
      </c>
      <c r="D61" s="5" t="s">
        <v>254</v>
      </c>
      <c r="E61" s="5" t="s">
        <v>254</v>
      </c>
      <c r="F61" s="4" t="s">
        <v>255</v>
      </c>
      <c r="G61" s="7">
        <v>29309302603138</v>
      </c>
      <c r="H61" s="7" t="str">
        <f t="shared" si="1"/>
        <v>29309302603138</v>
      </c>
      <c r="I61" s="4">
        <v>1993</v>
      </c>
      <c r="J61" s="8">
        <v>34242</v>
      </c>
      <c r="K61" s="4">
        <v>2008</v>
      </c>
      <c r="L61" s="4">
        <v>2014</v>
      </c>
      <c r="M61" s="4" t="s">
        <v>256</v>
      </c>
      <c r="N61" s="11" t="s">
        <v>319</v>
      </c>
      <c r="O61" s="4" t="s">
        <v>330</v>
      </c>
      <c r="P61" s="4" t="s">
        <v>333</v>
      </c>
      <c r="Q61" s="4" t="s">
        <v>342</v>
      </c>
    </row>
    <row r="62" spans="3:17" ht="22.5" customHeight="1" x14ac:dyDescent="0.25">
      <c r="C62" s="4" t="s">
        <v>257</v>
      </c>
      <c r="D62" s="5" t="s">
        <v>258</v>
      </c>
      <c r="E62" s="5" t="s">
        <v>259</v>
      </c>
      <c r="F62" s="4" t="s">
        <v>260</v>
      </c>
      <c r="G62" s="7">
        <v>30002162103897</v>
      </c>
      <c r="H62" s="7" t="str">
        <f t="shared" si="1"/>
        <v>30002162103897</v>
      </c>
      <c r="I62" s="4">
        <v>2000</v>
      </c>
      <c r="J62" s="8">
        <v>36846</v>
      </c>
      <c r="K62" s="4" t="s">
        <v>261</v>
      </c>
      <c r="L62" s="4" t="s">
        <v>261</v>
      </c>
      <c r="M62" s="4" t="s">
        <v>179</v>
      </c>
      <c r="N62" s="11" t="s">
        <v>348</v>
      </c>
      <c r="O62" s="4" t="s">
        <v>330</v>
      </c>
      <c r="P62" s="4" t="s">
        <v>332</v>
      </c>
      <c r="Q62" s="4" t="s">
        <v>342</v>
      </c>
    </row>
    <row r="63" spans="3:17" ht="22.5" customHeight="1" x14ac:dyDescent="0.25">
      <c r="C63" s="4" t="s">
        <v>262</v>
      </c>
      <c r="D63" s="5" t="s">
        <v>263</v>
      </c>
      <c r="E63" s="5" t="s">
        <v>263</v>
      </c>
      <c r="F63" s="4" t="s">
        <v>264</v>
      </c>
      <c r="G63" s="7">
        <v>29211062101211</v>
      </c>
      <c r="H63" s="7" t="str">
        <f t="shared" si="1"/>
        <v>29211062101211</v>
      </c>
      <c r="I63" s="4" t="s">
        <v>265</v>
      </c>
      <c r="J63" s="8">
        <v>33914</v>
      </c>
      <c r="K63" s="4" t="s">
        <v>266</v>
      </c>
      <c r="L63" s="4" t="s">
        <v>267</v>
      </c>
      <c r="M63" s="4" t="s">
        <v>268</v>
      </c>
      <c r="N63" s="11" t="s">
        <v>348</v>
      </c>
      <c r="O63" s="4" t="s">
        <v>330</v>
      </c>
      <c r="P63" s="4" t="s">
        <v>269</v>
      </c>
      <c r="Q63" s="4" t="s">
        <v>341</v>
      </c>
    </row>
    <row r="64" spans="3:17" ht="22.5" customHeight="1" x14ac:dyDescent="0.25">
      <c r="C64" s="4" t="s">
        <v>270</v>
      </c>
      <c r="D64" s="5" t="s">
        <v>271</v>
      </c>
      <c r="E64" s="5" t="s">
        <v>271</v>
      </c>
      <c r="F64" s="4" t="s">
        <v>272</v>
      </c>
      <c r="G64" s="7">
        <v>30201242600355</v>
      </c>
      <c r="H64" s="7" t="str">
        <f t="shared" si="1"/>
        <v>30201242600355</v>
      </c>
      <c r="I64" s="4">
        <v>2002</v>
      </c>
      <c r="J64" s="8">
        <v>37280</v>
      </c>
      <c r="K64" s="4">
        <v>2010</v>
      </c>
      <c r="L64" s="4">
        <v>2020</v>
      </c>
      <c r="M64" s="4" t="s">
        <v>273</v>
      </c>
      <c r="N64" s="11" t="s">
        <v>348</v>
      </c>
      <c r="O64" s="4" t="s">
        <v>330</v>
      </c>
      <c r="P64" s="4" t="s">
        <v>335</v>
      </c>
      <c r="Q64" s="4" t="s">
        <v>340</v>
      </c>
    </row>
    <row r="65" spans="3:17" ht="22.5" customHeight="1" x14ac:dyDescent="0.25">
      <c r="C65" s="4" t="s">
        <v>274</v>
      </c>
      <c r="D65" s="5" t="s">
        <v>275</v>
      </c>
      <c r="E65" s="5" t="s">
        <v>275</v>
      </c>
      <c r="F65" s="4" t="s">
        <v>276</v>
      </c>
      <c r="G65" s="7">
        <v>30505130103846</v>
      </c>
      <c r="H65" s="7" t="str">
        <f t="shared" si="1"/>
        <v>30505130103846</v>
      </c>
      <c r="I65" s="4">
        <v>2005</v>
      </c>
      <c r="J65" s="8">
        <v>38485</v>
      </c>
      <c r="K65" s="4">
        <v>2014</v>
      </c>
      <c r="L65" s="4">
        <v>2025</v>
      </c>
      <c r="M65" s="4" t="s">
        <v>179</v>
      </c>
      <c r="N65" s="11" t="s">
        <v>348</v>
      </c>
      <c r="O65" s="4" t="s">
        <v>330</v>
      </c>
      <c r="P65" s="4" t="s">
        <v>347</v>
      </c>
      <c r="Q65" s="4" t="s">
        <v>345</v>
      </c>
    </row>
    <row r="66" spans="3:17" ht="22.5" customHeight="1" x14ac:dyDescent="0.25">
      <c r="C66" s="4" t="s">
        <v>277</v>
      </c>
      <c r="D66" s="5" t="s">
        <v>278</v>
      </c>
      <c r="E66" s="5" t="s">
        <v>278</v>
      </c>
      <c r="F66" s="4" t="s">
        <v>279</v>
      </c>
      <c r="G66" s="7" t="s">
        <v>280</v>
      </c>
      <c r="H66" s="7" t="str">
        <f t="shared" ref="H66:H74" si="2">IF(ISNUMBER(G66),TEXT(G66,"0"),G66)</f>
        <v>3070921262103777</v>
      </c>
      <c r="I66" s="4">
        <v>2007</v>
      </c>
      <c r="J66" s="8">
        <v>39351</v>
      </c>
      <c r="K66" s="4">
        <v>2016</v>
      </c>
      <c r="L66" s="4">
        <v>2026</v>
      </c>
      <c r="M66" s="4" t="s">
        <v>152</v>
      </c>
      <c r="N66" s="11" t="s">
        <v>348</v>
      </c>
      <c r="O66" s="4" t="s">
        <v>330</v>
      </c>
      <c r="P66" s="4" t="s">
        <v>347</v>
      </c>
      <c r="Q66" s="4" t="s">
        <v>345</v>
      </c>
    </row>
    <row r="67" spans="3:17" ht="22.5" customHeight="1" x14ac:dyDescent="0.25">
      <c r="C67" s="4" t="s">
        <v>281</v>
      </c>
      <c r="D67" s="5" t="s">
        <v>282</v>
      </c>
      <c r="E67" s="5" t="s">
        <v>282</v>
      </c>
      <c r="F67" s="4" t="s">
        <v>283</v>
      </c>
      <c r="G67" s="7">
        <v>29711042102043</v>
      </c>
      <c r="H67" s="7" t="str">
        <f t="shared" si="2"/>
        <v>29711042102043</v>
      </c>
      <c r="I67" s="4">
        <v>1997</v>
      </c>
      <c r="J67" s="8">
        <v>35738</v>
      </c>
      <c r="K67" s="4">
        <v>2013</v>
      </c>
      <c r="L67" s="4">
        <v>2026</v>
      </c>
      <c r="M67" s="4" t="s">
        <v>175</v>
      </c>
      <c r="N67" s="11" t="s">
        <v>348</v>
      </c>
      <c r="O67" s="4" t="s">
        <v>330</v>
      </c>
      <c r="P67" s="4" t="s">
        <v>337</v>
      </c>
      <c r="Q67" s="4" t="s">
        <v>341</v>
      </c>
    </row>
    <row r="68" spans="3:17" ht="22.5" customHeight="1" x14ac:dyDescent="0.25">
      <c r="C68" s="4" t="s">
        <v>284</v>
      </c>
      <c r="D68" s="5" t="s">
        <v>285</v>
      </c>
      <c r="E68" s="5" t="s">
        <v>285</v>
      </c>
      <c r="F68" s="4" t="s">
        <v>286</v>
      </c>
      <c r="G68" s="7">
        <v>30208042103734</v>
      </c>
      <c r="H68" s="7" t="str">
        <f t="shared" si="2"/>
        <v>30208042103734</v>
      </c>
      <c r="I68" s="4">
        <v>2002</v>
      </c>
      <c r="J68" s="8">
        <v>37472</v>
      </c>
      <c r="K68" s="4">
        <v>2015</v>
      </c>
      <c r="L68" s="4">
        <v>2025</v>
      </c>
      <c r="M68" s="4" t="s">
        <v>287</v>
      </c>
      <c r="N68" s="11" t="s">
        <v>348</v>
      </c>
      <c r="O68" s="4" t="s">
        <v>330</v>
      </c>
      <c r="P68" s="4" t="s">
        <v>332</v>
      </c>
      <c r="Q68" s="4" t="s">
        <v>342</v>
      </c>
    </row>
    <row r="69" spans="3:17" ht="22.5" customHeight="1" x14ac:dyDescent="0.25">
      <c r="C69" s="4" t="s">
        <v>288</v>
      </c>
      <c r="D69" s="5" t="s">
        <v>289</v>
      </c>
      <c r="E69" s="5" t="s">
        <v>289</v>
      </c>
      <c r="F69" s="4" t="s">
        <v>290</v>
      </c>
      <c r="G69" s="7">
        <v>29310092601372</v>
      </c>
      <c r="H69" s="7" t="str">
        <f t="shared" si="2"/>
        <v>29310092601372</v>
      </c>
      <c r="I69" s="4">
        <v>1993</v>
      </c>
      <c r="J69" s="8">
        <v>45939</v>
      </c>
      <c r="K69" s="4">
        <v>2007</v>
      </c>
      <c r="L69" s="4">
        <v>2012</v>
      </c>
      <c r="M69" s="4" t="s">
        <v>55</v>
      </c>
      <c r="N69" s="11" t="s">
        <v>348</v>
      </c>
      <c r="O69" s="4" t="s">
        <v>330</v>
      </c>
      <c r="P69" s="4" t="s">
        <v>335</v>
      </c>
      <c r="Q69" s="4" t="s">
        <v>340</v>
      </c>
    </row>
    <row r="70" spans="3:17" ht="22.5" customHeight="1" x14ac:dyDescent="0.25">
      <c r="C70" s="4" t="s">
        <v>291</v>
      </c>
      <c r="D70" s="5" t="s">
        <v>292</v>
      </c>
      <c r="E70" s="5" t="s">
        <v>292</v>
      </c>
      <c r="F70" s="4" t="s">
        <v>293</v>
      </c>
      <c r="G70" s="7">
        <v>30505052111152</v>
      </c>
      <c r="H70" s="7" t="str">
        <f t="shared" si="2"/>
        <v>30505052111152</v>
      </c>
      <c r="I70" s="5" t="s">
        <v>294</v>
      </c>
      <c r="J70" s="8">
        <v>38477</v>
      </c>
      <c r="K70" s="4">
        <v>2018</v>
      </c>
      <c r="L70" s="4">
        <v>2026</v>
      </c>
      <c r="M70" s="4" t="s">
        <v>124</v>
      </c>
      <c r="N70" s="11" t="s">
        <v>348</v>
      </c>
      <c r="O70" s="4" t="s">
        <v>330</v>
      </c>
      <c r="P70" s="4" t="s">
        <v>333</v>
      </c>
      <c r="Q70" s="4" t="s">
        <v>342</v>
      </c>
    </row>
    <row r="71" spans="3:17" ht="22.5" customHeight="1" x14ac:dyDescent="0.25">
      <c r="C71" s="4" t="s">
        <v>295</v>
      </c>
      <c r="D71" s="5" t="s">
        <v>296</v>
      </c>
      <c r="E71" s="5" t="s">
        <v>296</v>
      </c>
      <c r="F71" s="4" t="s">
        <v>297</v>
      </c>
      <c r="G71" s="7">
        <v>30303100103327</v>
      </c>
      <c r="H71" s="7" t="str">
        <f t="shared" si="2"/>
        <v>30303100103327</v>
      </c>
      <c r="I71" s="4">
        <v>2003</v>
      </c>
      <c r="J71" s="8">
        <v>37690</v>
      </c>
      <c r="K71" s="4">
        <v>2018</v>
      </c>
      <c r="L71" s="4">
        <v>2026</v>
      </c>
      <c r="M71" s="4" t="s">
        <v>152</v>
      </c>
      <c r="N71" s="11" t="s">
        <v>348</v>
      </c>
      <c r="O71" s="4" t="s">
        <v>330</v>
      </c>
      <c r="P71" s="4" t="s">
        <v>334</v>
      </c>
      <c r="Q71" s="4" t="s">
        <v>340</v>
      </c>
    </row>
    <row r="72" spans="3:17" ht="22.5" customHeight="1" x14ac:dyDescent="0.25">
      <c r="C72" s="4" t="s">
        <v>298</v>
      </c>
      <c r="D72" s="5" t="s">
        <v>299</v>
      </c>
      <c r="E72" s="5" t="s">
        <v>299</v>
      </c>
      <c r="F72" s="4" t="s">
        <v>300</v>
      </c>
      <c r="G72" s="7">
        <v>30112252102458</v>
      </c>
      <c r="H72" s="7" t="str">
        <f t="shared" si="2"/>
        <v>30112252102458</v>
      </c>
      <c r="I72" s="4">
        <v>2001</v>
      </c>
      <c r="J72" s="8">
        <v>37250</v>
      </c>
      <c r="K72" s="4">
        <v>2011</v>
      </c>
      <c r="L72" s="4" t="s">
        <v>301</v>
      </c>
      <c r="M72" s="4" t="s">
        <v>18</v>
      </c>
      <c r="N72" s="11" t="s">
        <v>348</v>
      </c>
      <c r="O72" s="4" t="s">
        <v>330</v>
      </c>
      <c r="P72" s="4" t="s">
        <v>339</v>
      </c>
      <c r="Q72" s="4" t="s">
        <v>341</v>
      </c>
    </row>
    <row r="73" spans="3:17" ht="22.5" customHeight="1" x14ac:dyDescent="0.25">
      <c r="C73" s="4" t="s">
        <v>302</v>
      </c>
      <c r="D73" s="5" t="s">
        <v>303</v>
      </c>
      <c r="E73" s="5" t="s">
        <v>303</v>
      </c>
      <c r="F73" s="4" t="s">
        <v>304</v>
      </c>
      <c r="G73" s="7">
        <v>30110012122653</v>
      </c>
      <c r="H73" s="7" t="str">
        <f t="shared" si="2"/>
        <v>30110012122653</v>
      </c>
      <c r="I73" s="4">
        <v>2001</v>
      </c>
      <c r="J73" s="8">
        <v>37167</v>
      </c>
      <c r="K73" s="5" t="s">
        <v>305</v>
      </c>
      <c r="L73" s="4">
        <v>2061</v>
      </c>
      <c r="M73" s="4" t="s">
        <v>306</v>
      </c>
      <c r="N73" s="11" t="s">
        <v>348</v>
      </c>
      <c r="O73" s="4" t="s">
        <v>330</v>
      </c>
      <c r="P73" s="4" t="s">
        <v>339</v>
      </c>
      <c r="Q73" s="4" t="s">
        <v>341</v>
      </c>
    </row>
    <row r="74" spans="3:17" ht="22.5" customHeight="1" x14ac:dyDescent="0.25">
      <c r="C74" s="4" t="s">
        <v>307</v>
      </c>
      <c r="D74" s="5" t="s">
        <v>308</v>
      </c>
      <c r="E74" s="5" t="s">
        <v>308</v>
      </c>
      <c r="F74" s="4" t="s">
        <v>309</v>
      </c>
      <c r="G74" s="7">
        <v>30410190104735</v>
      </c>
      <c r="H74" s="7" t="str">
        <f t="shared" si="2"/>
        <v>30410190104735</v>
      </c>
      <c r="I74" s="4">
        <v>2004</v>
      </c>
      <c r="J74" s="8">
        <v>38279</v>
      </c>
      <c r="K74" s="4">
        <v>2013</v>
      </c>
      <c r="L74" s="4">
        <v>2024</v>
      </c>
      <c r="M74" s="4" t="s">
        <v>55</v>
      </c>
      <c r="N74" s="11" t="s">
        <v>348</v>
      </c>
      <c r="O74" s="4" t="s">
        <v>330</v>
      </c>
      <c r="P74" s="4" t="s">
        <v>332</v>
      </c>
      <c r="Q74" s="4" t="s">
        <v>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faiz</cp:lastModifiedBy>
  <dcterms:modified xsi:type="dcterms:W3CDTF">2026-08-27T22:05:52Z</dcterms:modified>
</cp:coreProperties>
</file>