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2F3247C6-95AF-4EF3-8ECE-A635A6A14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النتيج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" i="1" l="1"/>
  <c r="S34" i="1" s="1"/>
  <c r="T34" i="1" s="1"/>
  <c r="N34" i="1"/>
  <c r="F34" i="1"/>
  <c r="E31" i="2"/>
  <c r="E30" i="2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5" i="1"/>
  <c r="L152" i="2"/>
  <c r="K152" i="2"/>
  <c r="J152" i="2"/>
  <c r="I152" i="2"/>
  <c r="H152" i="2"/>
  <c r="G152" i="2"/>
  <c r="F152" i="2"/>
  <c r="E152" i="2"/>
  <c r="D152" i="2"/>
  <c r="C152" i="2"/>
  <c r="B152" i="2"/>
  <c r="L151" i="2"/>
  <c r="K151" i="2"/>
  <c r="J151" i="2"/>
  <c r="I151" i="2"/>
  <c r="H151" i="2"/>
  <c r="G151" i="2"/>
  <c r="F151" i="2"/>
  <c r="E151" i="2"/>
  <c r="D151" i="2"/>
  <c r="C151" i="2"/>
  <c r="B151" i="2"/>
  <c r="L150" i="2"/>
  <c r="K150" i="2"/>
  <c r="J150" i="2"/>
  <c r="I150" i="2"/>
  <c r="H150" i="2"/>
  <c r="G150" i="2"/>
  <c r="F150" i="2"/>
  <c r="E150" i="2"/>
  <c r="D150" i="2"/>
  <c r="C150" i="2"/>
  <c r="B150" i="2"/>
  <c r="L149" i="2"/>
  <c r="K149" i="2"/>
  <c r="J149" i="2"/>
  <c r="I149" i="2"/>
  <c r="H149" i="2"/>
  <c r="G149" i="2"/>
  <c r="F149" i="2"/>
  <c r="E149" i="2"/>
  <c r="D149" i="2"/>
  <c r="C149" i="2"/>
  <c r="B149" i="2"/>
  <c r="L148" i="2"/>
  <c r="K148" i="2"/>
  <c r="J148" i="2"/>
  <c r="I148" i="2"/>
  <c r="H148" i="2"/>
  <c r="G148" i="2"/>
  <c r="F148" i="2"/>
  <c r="E148" i="2"/>
  <c r="D148" i="2"/>
  <c r="C148" i="2"/>
  <c r="B148" i="2"/>
  <c r="L147" i="2"/>
  <c r="K147" i="2"/>
  <c r="J147" i="2"/>
  <c r="I147" i="2"/>
  <c r="H147" i="2"/>
  <c r="G147" i="2"/>
  <c r="F147" i="2"/>
  <c r="E147" i="2"/>
  <c r="D147" i="2"/>
  <c r="C147" i="2"/>
  <c r="B147" i="2"/>
  <c r="L146" i="2"/>
  <c r="K146" i="2"/>
  <c r="J146" i="2"/>
  <c r="I146" i="2"/>
  <c r="H146" i="2"/>
  <c r="G146" i="2"/>
  <c r="F146" i="2"/>
  <c r="E146" i="2"/>
  <c r="D146" i="2"/>
  <c r="C146" i="2"/>
  <c r="B146" i="2"/>
  <c r="L145" i="2"/>
  <c r="K145" i="2"/>
  <c r="J145" i="2"/>
  <c r="I145" i="2"/>
  <c r="H145" i="2"/>
  <c r="G145" i="2"/>
  <c r="F145" i="2"/>
  <c r="E145" i="2"/>
  <c r="D145" i="2"/>
  <c r="C145" i="2"/>
  <c r="B145" i="2"/>
  <c r="L144" i="2"/>
  <c r="K144" i="2"/>
  <c r="J144" i="2"/>
  <c r="I144" i="2"/>
  <c r="H144" i="2"/>
  <c r="G144" i="2"/>
  <c r="F144" i="2"/>
  <c r="E144" i="2"/>
  <c r="D144" i="2"/>
  <c r="C144" i="2"/>
  <c r="B144" i="2"/>
  <c r="L143" i="2"/>
  <c r="K143" i="2"/>
  <c r="J143" i="2"/>
  <c r="I143" i="2"/>
  <c r="H143" i="2"/>
  <c r="G143" i="2"/>
  <c r="F143" i="2"/>
  <c r="E143" i="2"/>
  <c r="D143" i="2"/>
  <c r="C143" i="2"/>
  <c r="B143" i="2"/>
  <c r="L142" i="2"/>
  <c r="K142" i="2"/>
  <c r="J142" i="2"/>
  <c r="I142" i="2"/>
  <c r="H142" i="2"/>
  <c r="G142" i="2"/>
  <c r="F142" i="2"/>
  <c r="E142" i="2"/>
  <c r="D142" i="2"/>
  <c r="C142" i="2"/>
  <c r="B142" i="2"/>
  <c r="L141" i="2"/>
  <c r="K141" i="2"/>
  <c r="J141" i="2"/>
  <c r="I141" i="2"/>
  <c r="H141" i="2"/>
  <c r="G141" i="2"/>
  <c r="F141" i="2"/>
  <c r="E141" i="2"/>
  <c r="D141" i="2"/>
  <c r="C141" i="2"/>
  <c r="B141" i="2"/>
  <c r="L140" i="2"/>
  <c r="K140" i="2"/>
  <c r="J140" i="2"/>
  <c r="I140" i="2"/>
  <c r="H140" i="2"/>
  <c r="G140" i="2"/>
  <c r="F140" i="2"/>
  <c r="E140" i="2"/>
  <c r="D140" i="2"/>
  <c r="C140" i="2"/>
  <c r="B140" i="2"/>
  <c r="L139" i="2"/>
  <c r="K139" i="2"/>
  <c r="J139" i="2"/>
  <c r="I139" i="2"/>
  <c r="H139" i="2"/>
  <c r="G139" i="2"/>
  <c r="F139" i="2"/>
  <c r="E139" i="2"/>
  <c r="D139" i="2"/>
  <c r="C139" i="2"/>
  <c r="B139" i="2"/>
  <c r="L138" i="2"/>
  <c r="K138" i="2"/>
  <c r="J138" i="2"/>
  <c r="I138" i="2"/>
  <c r="H138" i="2"/>
  <c r="G138" i="2"/>
  <c r="F138" i="2"/>
  <c r="E138" i="2"/>
  <c r="D138" i="2"/>
  <c r="C138" i="2"/>
  <c r="B138" i="2"/>
  <c r="L137" i="2"/>
  <c r="K137" i="2"/>
  <c r="J137" i="2"/>
  <c r="I137" i="2"/>
  <c r="H137" i="2"/>
  <c r="G137" i="2"/>
  <c r="F137" i="2"/>
  <c r="E137" i="2"/>
  <c r="D137" i="2"/>
  <c r="C137" i="2"/>
  <c r="B137" i="2"/>
  <c r="L136" i="2"/>
  <c r="K136" i="2"/>
  <c r="J136" i="2"/>
  <c r="I136" i="2"/>
  <c r="H136" i="2"/>
  <c r="G136" i="2"/>
  <c r="F136" i="2"/>
  <c r="E136" i="2"/>
  <c r="D136" i="2"/>
  <c r="C136" i="2"/>
  <c r="B136" i="2"/>
  <c r="L135" i="2"/>
  <c r="K135" i="2"/>
  <c r="J135" i="2"/>
  <c r="I135" i="2"/>
  <c r="H135" i="2"/>
  <c r="G135" i="2"/>
  <c r="F135" i="2"/>
  <c r="E135" i="2"/>
  <c r="D135" i="2"/>
  <c r="C135" i="2"/>
  <c r="B135" i="2"/>
  <c r="L134" i="2"/>
  <c r="K134" i="2"/>
  <c r="J134" i="2"/>
  <c r="I134" i="2"/>
  <c r="H134" i="2"/>
  <c r="G134" i="2"/>
  <c r="F134" i="2"/>
  <c r="E134" i="2"/>
  <c r="D134" i="2"/>
  <c r="C134" i="2"/>
  <c r="B134" i="2"/>
  <c r="L133" i="2"/>
  <c r="K133" i="2"/>
  <c r="J133" i="2"/>
  <c r="I133" i="2"/>
  <c r="H133" i="2"/>
  <c r="G133" i="2"/>
  <c r="F133" i="2"/>
  <c r="E133" i="2"/>
  <c r="D133" i="2"/>
  <c r="C133" i="2"/>
  <c r="B133" i="2"/>
  <c r="L132" i="2"/>
  <c r="K132" i="2"/>
  <c r="J132" i="2"/>
  <c r="I132" i="2"/>
  <c r="H132" i="2"/>
  <c r="G132" i="2"/>
  <c r="F132" i="2"/>
  <c r="E132" i="2"/>
  <c r="D132" i="2"/>
  <c r="C132" i="2"/>
  <c r="B132" i="2"/>
  <c r="L131" i="2"/>
  <c r="K131" i="2"/>
  <c r="J131" i="2"/>
  <c r="I131" i="2"/>
  <c r="H131" i="2"/>
  <c r="G131" i="2"/>
  <c r="F131" i="2"/>
  <c r="E131" i="2"/>
  <c r="D131" i="2"/>
  <c r="C131" i="2"/>
  <c r="B131" i="2"/>
  <c r="L130" i="2"/>
  <c r="K130" i="2"/>
  <c r="J130" i="2"/>
  <c r="I130" i="2"/>
  <c r="H130" i="2"/>
  <c r="G130" i="2"/>
  <c r="F130" i="2"/>
  <c r="E130" i="2"/>
  <c r="D130" i="2"/>
  <c r="C130" i="2"/>
  <c r="B130" i="2"/>
  <c r="L129" i="2"/>
  <c r="K129" i="2"/>
  <c r="J129" i="2"/>
  <c r="I129" i="2"/>
  <c r="H129" i="2"/>
  <c r="G129" i="2"/>
  <c r="F129" i="2"/>
  <c r="E129" i="2"/>
  <c r="D129" i="2"/>
  <c r="C129" i="2"/>
  <c r="B129" i="2"/>
  <c r="L128" i="2"/>
  <c r="K128" i="2"/>
  <c r="J128" i="2"/>
  <c r="I128" i="2"/>
  <c r="H128" i="2"/>
  <c r="G128" i="2"/>
  <c r="F128" i="2"/>
  <c r="E128" i="2"/>
  <c r="D128" i="2"/>
  <c r="C128" i="2"/>
  <c r="B128" i="2"/>
  <c r="L127" i="2"/>
  <c r="K127" i="2"/>
  <c r="J127" i="2"/>
  <c r="I127" i="2"/>
  <c r="H127" i="2"/>
  <c r="G127" i="2"/>
  <c r="F127" i="2"/>
  <c r="E127" i="2"/>
  <c r="D127" i="2"/>
  <c r="C127" i="2"/>
  <c r="B127" i="2"/>
  <c r="L126" i="2"/>
  <c r="K126" i="2"/>
  <c r="J126" i="2"/>
  <c r="I126" i="2"/>
  <c r="H126" i="2"/>
  <c r="G126" i="2"/>
  <c r="F126" i="2"/>
  <c r="E126" i="2"/>
  <c r="D126" i="2"/>
  <c r="C126" i="2"/>
  <c r="B126" i="2"/>
  <c r="L125" i="2"/>
  <c r="K125" i="2"/>
  <c r="J125" i="2"/>
  <c r="I125" i="2"/>
  <c r="H125" i="2"/>
  <c r="G125" i="2"/>
  <c r="F125" i="2"/>
  <c r="E125" i="2"/>
  <c r="D125" i="2"/>
  <c r="C125" i="2"/>
  <c r="B125" i="2"/>
  <c r="L124" i="2"/>
  <c r="K124" i="2"/>
  <c r="J124" i="2"/>
  <c r="I124" i="2"/>
  <c r="H124" i="2"/>
  <c r="G124" i="2"/>
  <c r="F124" i="2"/>
  <c r="E124" i="2"/>
  <c r="D124" i="2"/>
  <c r="C124" i="2"/>
  <c r="B124" i="2"/>
  <c r="L123" i="2"/>
  <c r="K123" i="2"/>
  <c r="J123" i="2"/>
  <c r="I123" i="2"/>
  <c r="H123" i="2"/>
  <c r="G123" i="2"/>
  <c r="F123" i="2"/>
  <c r="E123" i="2"/>
  <c r="D123" i="2"/>
  <c r="C123" i="2"/>
  <c r="B123" i="2"/>
  <c r="L122" i="2"/>
  <c r="K122" i="2"/>
  <c r="J122" i="2"/>
  <c r="I122" i="2"/>
  <c r="H122" i="2"/>
  <c r="G122" i="2"/>
  <c r="F122" i="2"/>
  <c r="E122" i="2"/>
  <c r="D122" i="2"/>
  <c r="C122" i="2"/>
  <c r="B122" i="2"/>
  <c r="L121" i="2"/>
  <c r="K121" i="2"/>
  <c r="J121" i="2"/>
  <c r="I121" i="2"/>
  <c r="H121" i="2"/>
  <c r="G121" i="2"/>
  <c r="F121" i="2"/>
  <c r="E121" i="2"/>
  <c r="D121" i="2"/>
  <c r="C121" i="2"/>
  <c r="B121" i="2"/>
  <c r="L120" i="2"/>
  <c r="K120" i="2"/>
  <c r="J120" i="2"/>
  <c r="I120" i="2"/>
  <c r="H120" i="2"/>
  <c r="G120" i="2"/>
  <c r="F120" i="2"/>
  <c r="E120" i="2"/>
  <c r="D120" i="2"/>
  <c r="C120" i="2"/>
  <c r="B120" i="2"/>
  <c r="L119" i="2"/>
  <c r="K119" i="2"/>
  <c r="J119" i="2"/>
  <c r="I119" i="2"/>
  <c r="H119" i="2"/>
  <c r="G119" i="2"/>
  <c r="F119" i="2"/>
  <c r="E119" i="2"/>
  <c r="D119" i="2"/>
  <c r="C119" i="2"/>
  <c r="B119" i="2"/>
  <c r="L118" i="2"/>
  <c r="K118" i="2"/>
  <c r="J118" i="2"/>
  <c r="I118" i="2"/>
  <c r="H118" i="2"/>
  <c r="G118" i="2"/>
  <c r="F118" i="2"/>
  <c r="E118" i="2"/>
  <c r="D118" i="2"/>
  <c r="C118" i="2"/>
  <c r="B118" i="2"/>
  <c r="L117" i="2"/>
  <c r="K117" i="2"/>
  <c r="J117" i="2"/>
  <c r="I117" i="2"/>
  <c r="H117" i="2"/>
  <c r="G117" i="2"/>
  <c r="F117" i="2"/>
  <c r="E117" i="2"/>
  <c r="D117" i="2"/>
  <c r="C117" i="2"/>
  <c r="B117" i="2"/>
  <c r="L116" i="2"/>
  <c r="K116" i="2"/>
  <c r="J116" i="2"/>
  <c r="I116" i="2"/>
  <c r="H116" i="2"/>
  <c r="G116" i="2"/>
  <c r="F116" i="2"/>
  <c r="E116" i="2"/>
  <c r="D116" i="2"/>
  <c r="C116" i="2"/>
  <c r="B116" i="2"/>
  <c r="L115" i="2"/>
  <c r="K115" i="2"/>
  <c r="J115" i="2"/>
  <c r="I115" i="2"/>
  <c r="H115" i="2"/>
  <c r="G115" i="2"/>
  <c r="F115" i="2"/>
  <c r="E115" i="2"/>
  <c r="D115" i="2"/>
  <c r="C115" i="2"/>
  <c r="B115" i="2"/>
  <c r="L114" i="2"/>
  <c r="K114" i="2"/>
  <c r="J114" i="2"/>
  <c r="I114" i="2"/>
  <c r="H114" i="2"/>
  <c r="G114" i="2"/>
  <c r="F114" i="2"/>
  <c r="E114" i="2"/>
  <c r="D114" i="2"/>
  <c r="C114" i="2"/>
  <c r="B114" i="2"/>
  <c r="L113" i="2"/>
  <c r="K113" i="2"/>
  <c r="J113" i="2"/>
  <c r="I113" i="2"/>
  <c r="H113" i="2"/>
  <c r="G113" i="2"/>
  <c r="F113" i="2"/>
  <c r="E113" i="2"/>
  <c r="D113" i="2"/>
  <c r="C113" i="2"/>
  <c r="B113" i="2"/>
  <c r="L112" i="2"/>
  <c r="K112" i="2"/>
  <c r="J112" i="2"/>
  <c r="I112" i="2"/>
  <c r="H112" i="2"/>
  <c r="G112" i="2"/>
  <c r="F112" i="2"/>
  <c r="E112" i="2"/>
  <c r="D112" i="2"/>
  <c r="C112" i="2"/>
  <c r="B112" i="2"/>
  <c r="L111" i="2"/>
  <c r="K111" i="2"/>
  <c r="J111" i="2"/>
  <c r="I111" i="2"/>
  <c r="H111" i="2"/>
  <c r="G111" i="2"/>
  <c r="F111" i="2"/>
  <c r="E111" i="2"/>
  <c r="D111" i="2"/>
  <c r="C111" i="2"/>
  <c r="B111" i="2"/>
  <c r="L110" i="2"/>
  <c r="K110" i="2"/>
  <c r="J110" i="2"/>
  <c r="I110" i="2"/>
  <c r="H110" i="2"/>
  <c r="G110" i="2"/>
  <c r="F110" i="2"/>
  <c r="E110" i="2"/>
  <c r="D110" i="2"/>
  <c r="C110" i="2"/>
  <c r="B110" i="2"/>
  <c r="L109" i="2"/>
  <c r="K109" i="2"/>
  <c r="J109" i="2"/>
  <c r="I109" i="2"/>
  <c r="H109" i="2"/>
  <c r="G109" i="2"/>
  <c r="F109" i="2"/>
  <c r="E109" i="2"/>
  <c r="D109" i="2"/>
  <c r="C109" i="2"/>
  <c r="B109" i="2"/>
  <c r="L108" i="2"/>
  <c r="K108" i="2"/>
  <c r="J108" i="2"/>
  <c r="I108" i="2"/>
  <c r="H108" i="2"/>
  <c r="G108" i="2"/>
  <c r="F108" i="2"/>
  <c r="E108" i="2"/>
  <c r="D108" i="2"/>
  <c r="C108" i="2"/>
  <c r="B108" i="2"/>
  <c r="L107" i="2"/>
  <c r="K107" i="2"/>
  <c r="J107" i="2"/>
  <c r="I107" i="2"/>
  <c r="H107" i="2"/>
  <c r="G107" i="2"/>
  <c r="F107" i="2"/>
  <c r="E107" i="2"/>
  <c r="D107" i="2"/>
  <c r="C107" i="2"/>
  <c r="B107" i="2"/>
  <c r="L106" i="2"/>
  <c r="K106" i="2"/>
  <c r="J106" i="2"/>
  <c r="I106" i="2"/>
  <c r="H106" i="2"/>
  <c r="G106" i="2"/>
  <c r="F106" i="2"/>
  <c r="E106" i="2"/>
  <c r="D106" i="2"/>
  <c r="C106" i="2"/>
  <c r="B106" i="2"/>
  <c r="L105" i="2"/>
  <c r="K105" i="2"/>
  <c r="J105" i="2"/>
  <c r="I105" i="2"/>
  <c r="H105" i="2"/>
  <c r="G105" i="2"/>
  <c r="F105" i="2"/>
  <c r="E105" i="2"/>
  <c r="D105" i="2"/>
  <c r="C105" i="2"/>
  <c r="B105" i="2"/>
  <c r="L104" i="2"/>
  <c r="K104" i="2"/>
  <c r="J104" i="2"/>
  <c r="I104" i="2"/>
  <c r="H104" i="2"/>
  <c r="G104" i="2"/>
  <c r="F104" i="2"/>
  <c r="E104" i="2"/>
  <c r="D104" i="2"/>
  <c r="C104" i="2"/>
  <c r="B104" i="2"/>
  <c r="L103" i="2"/>
  <c r="K103" i="2"/>
  <c r="J103" i="2"/>
  <c r="I103" i="2"/>
  <c r="H103" i="2"/>
  <c r="G103" i="2"/>
  <c r="F103" i="2"/>
  <c r="E103" i="2"/>
  <c r="D103" i="2"/>
  <c r="C103" i="2"/>
  <c r="B103" i="2"/>
  <c r="L102" i="2"/>
  <c r="K102" i="2"/>
  <c r="J102" i="2"/>
  <c r="I102" i="2"/>
  <c r="H102" i="2"/>
  <c r="G102" i="2"/>
  <c r="F102" i="2"/>
  <c r="E102" i="2"/>
  <c r="D102" i="2"/>
  <c r="C102" i="2"/>
  <c r="B102" i="2"/>
  <c r="L101" i="2"/>
  <c r="K101" i="2"/>
  <c r="J101" i="2"/>
  <c r="I101" i="2"/>
  <c r="H101" i="2"/>
  <c r="G101" i="2"/>
  <c r="F101" i="2"/>
  <c r="E101" i="2"/>
  <c r="D101" i="2"/>
  <c r="C101" i="2"/>
  <c r="B101" i="2"/>
  <c r="L100" i="2"/>
  <c r="K100" i="2"/>
  <c r="J100" i="2"/>
  <c r="I100" i="2"/>
  <c r="H100" i="2"/>
  <c r="G100" i="2"/>
  <c r="F100" i="2"/>
  <c r="E100" i="2"/>
  <c r="D100" i="2"/>
  <c r="C100" i="2"/>
  <c r="B100" i="2"/>
  <c r="L99" i="2"/>
  <c r="K99" i="2"/>
  <c r="J99" i="2"/>
  <c r="I99" i="2"/>
  <c r="H99" i="2"/>
  <c r="G99" i="2"/>
  <c r="F99" i="2"/>
  <c r="E99" i="2"/>
  <c r="D99" i="2"/>
  <c r="C99" i="2"/>
  <c r="B99" i="2"/>
  <c r="L98" i="2"/>
  <c r="K98" i="2"/>
  <c r="J98" i="2"/>
  <c r="I98" i="2"/>
  <c r="H98" i="2"/>
  <c r="G98" i="2"/>
  <c r="F98" i="2"/>
  <c r="E98" i="2"/>
  <c r="D98" i="2"/>
  <c r="C98" i="2"/>
  <c r="B98" i="2"/>
  <c r="L97" i="2"/>
  <c r="K97" i="2"/>
  <c r="J97" i="2"/>
  <c r="I97" i="2"/>
  <c r="H97" i="2"/>
  <c r="G97" i="2"/>
  <c r="F97" i="2"/>
  <c r="E97" i="2"/>
  <c r="D97" i="2"/>
  <c r="C97" i="2"/>
  <c r="B97" i="2"/>
  <c r="L96" i="2"/>
  <c r="K96" i="2"/>
  <c r="J96" i="2"/>
  <c r="I96" i="2"/>
  <c r="H96" i="2"/>
  <c r="G96" i="2"/>
  <c r="F96" i="2"/>
  <c r="E96" i="2"/>
  <c r="D96" i="2"/>
  <c r="C96" i="2"/>
  <c r="B96" i="2"/>
  <c r="L95" i="2"/>
  <c r="K95" i="2"/>
  <c r="J95" i="2"/>
  <c r="I95" i="2"/>
  <c r="H95" i="2"/>
  <c r="G95" i="2"/>
  <c r="F95" i="2"/>
  <c r="E95" i="2"/>
  <c r="D95" i="2"/>
  <c r="C95" i="2"/>
  <c r="B95" i="2"/>
  <c r="L94" i="2"/>
  <c r="K94" i="2"/>
  <c r="J94" i="2"/>
  <c r="I94" i="2"/>
  <c r="H94" i="2"/>
  <c r="G94" i="2"/>
  <c r="F94" i="2"/>
  <c r="E94" i="2"/>
  <c r="D94" i="2"/>
  <c r="C94" i="2"/>
  <c r="B94" i="2"/>
  <c r="L93" i="2"/>
  <c r="K93" i="2"/>
  <c r="J93" i="2"/>
  <c r="I93" i="2"/>
  <c r="H93" i="2"/>
  <c r="G93" i="2"/>
  <c r="F93" i="2"/>
  <c r="E93" i="2"/>
  <c r="D93" i="2"/>
  <c r="C93" i="2"/>
  <c r="B93" i="2"/>
  <c r="L92" i="2"/>
  <c r="K92" i="2"/>
  <c r="J92" i="2"/>
  <c r="I92" i="2"/>
  <c r="H92" i="2"/>
  <c r="G92" i="2"/>
  <c r="F92" i="2"/>
  <c r="E92" i="2"/>
  <c r="D92" i="2"/>
  <c r="C92" i="2"/>
  <c r="B92" i="2"/>
  <c r="L91" i="2"/>
  <c r="K91" i="2"/>
  <c r="J91" i="2"/>
  <c r="I91" i="2"/>
  <c r="H91" i="2"/>
  <c r="G91" i="2"/>
  <c r="F91" i="2"/>
  <c r="E91" i="2"/>
  <c r="D91" i="2"/>
  <c r="C91" i="2"/>
  <c r="B91" i="2"/>
  <c r="L90" i="2"/>
  <c r="K90" i="2"/>
  <c r="J90" i="2"/>
  <c r="I90" i="2"/>
  <c r="H90" i="2"/>
  <c r="G90" i="2"/>
  <c r="F90" i="2"/>
  <c r="E90" i="2"/>
  <c r="D90" i="2"/>
  <c r="C90" i="2"/>
  <c r="B90" i="2"/>
  <c r="L89" i="2"/>
  <c r="K89" i="2"/>
  <c r="J89" i="2"/>
  <c r="I89" i="2"/>
  <c r="H89" i="2"/>
  <c r="G89" i="2"/>
  <c r="F89" i="2"/>
  <c r="E89" i="2"/>
  <c r="D89" i="2"/>
  <c r="C89" i="2"/>
  <c r="B89" i="2"/>
  <c r="L88" i="2"/>
  <c r="K88" i="2"/>
  <c r="J88" i="2"/>
  <c r="I88" i="2"/>
  <c r="H88" i="2"/>
  <c r="G88" i="2"/>
  <c r="F88" i="2"/>
  <c r="E88" i="2"/>
  <c r="D88" i="2"/>
  <c r="C88" i="2"/>
  <c r="B88" i="2"/>
  <c r="L87" i="2"/>
  <c r="K87" i="2"/>
  <c r="J87" i="2"/>
  <c r="I87" i="2"/>
  <c r="H87" i="2"/>
  <c r="G87" i="2"/>
  <c r="F87" i="2"/>
  <c r="E87" i="2"/>
  <c r="D87" i="2"/>
  <c r="C87" i="2"/>
  <c r="B87" i="2"/>
  <c r="L86" i="2"/>
  <c r="K86" i="2"/>
  <c r="J86" i="2"/>
  <c r="I86" i="2"/>
  <c r="H86" i="2"/>
  <c r="G86" i="2"/>
  <c r="F86" i="2"/>
  <c r="E86" i="2"/>
  <c r="D86" i="2"/>
  <c r="C86" i="2"/>
  <c r="B86" i="2"/>
  <c r="L85" i="2"/>
  <c r="K85" i="2"/>
  <c r="J85" i="2"/>
  <c r="I85" i="2"/>
  <c r="H85" i="2"/>
  <c r="G85" i="2"/>
  <c r="F85" i="2"/>
  <c r="E85" i="2"/>
  <c r="D85" i="2"/>
  <c r="C85" i="2"/>
  <c r="B85" i="2"/>
  <c r="L84" i="2"/>
  <c r="K84" i="2"/>
  <c r="J84" i="2"/>
  <c r="I84" i="2"/>
  <c r="H84" i="2"/>
  <c r="G84" i="2"/>
  <c r="F84" i="2"/>
  <c r="E84" i="2"/>
  <c r="D84" i="2"/>
  <c r="C84" i="2"/>
  <c r="B84" i="2"/>
  <c r="L83" i="2"/>
  <c r="K83" i="2"/>
  <c r="J83" i="2"/>
  <c r="I83" i="2"/>
  <c r="H83" i="2"/>
  <c r="G83" i="2"/>
  <c r="F83" i="2"/>
  <c r="E83" i="2"/>
  <c r="D83" i="2"/>
  <c r="C83" i="2"/>
  <c r="B83" i="2"/>
  <c r="L82" i="2"/>
  <c r="K82" i="2"/>
  <c r="J82" i="2"/>
  <c r="I82" i="2"/>
  <c r="H82" i="2"/>
  <c r="G82" i="2"/>
  <c r="F82" i="2"/>
  <c r="E82" i="2"/>
  <c r="D82" i="2"/>
  <c r="C82" i="2"/>
  <c r="B82" i="2"/>
  <c r="L81" i="2"/>
  <c r="K81" i="2"/>
  <c r="J81" i="2"/>
  <c r="I81" i="2"/>
  <c r="H81" i="2"/>
  <c r="G81" i="2"/>
  <c r="F81" i="2"/>
  <c r="E81" i="2"/>
  <c r="D81" i="2"/>
  <c r="C81" i="2"/>
  <c r="B81" i="2"/>
  <c r="L80" i="2"/>
  <c r="K80" i="2"/>
  <c r="J80" i="2"/>
  <c r="I80" i="2"/>
  <c r="H80" i="2"/>
  <c r="G80" i="2"/>
  <c r="F80" i="2"/>
  <c r="E80" i="2"/>
  <c r="D80" i="2"/>
  <c r="C80" i="2"/>
  <c r="B80" i="2"/>
  <c r="L79" i="2"/>
  <c r="K79" i="2"/>
  <c r="J79" i="2"/>
  <c r="I79" i="2"/>
  <c r="H79" i="2"/>
  <c r="G79" i="2"/>
  <c r="F79" i="2"/>
  <c r="E79" i="2"/>
  <c r="D79" i="2"/>
  <c r="C79" i="2"/>
  <c r="B79" i="2"/>
  <c r="L78" i="2"/>
  <c r="K78" i="2"/>
  <c r="J78" i="2"/>
  <c r="I78" i="2"/>
  <c r="H78" i="2"/>
  <c r="G78" i="2"/>
  <c r="F78" i="2"/>
  <c r="E78" i="2"/>
  <c r="D78" i="2"/>
  <c r="C78" i="2"/>
  <c r="B78" i="2"/>
  <c r="L77" i="2"/>
  <c r="K77" i="2"/>
  <c r="J77" i="2"/>
  <c r="I77" i="2"/>
  <c r="H77" i="2"/>
  <c r="G77" i="2"/>
  <c r="F77" i="2"/>
  <c r="E77" i="2"/>
  <c r="D77" i="2"/>
  <c r="C77" i="2"/>
  <c r="B77" i="2"/>
  <c r="L76" i="2"/>
  <c r="K76" i="2"/>
  <c r="J76" i="2"/>
  <c r="I76" i="2"/>
  <c r="H76" i="2"/>
  <c r="G76" i="2"/>
  <c r="F76" i="2"/>
  <c r="E76" i="2"/>
  <c r="D76" i="2"/>
  <c r="C76" i="2"/>
  <c r="B76" i="2"/>
  <c r="L75" i="2"/>
  <c r="K75" i="2"/>
  <c r="J75" i="2"/>
  <c r="I75" i="2"/>
  <c r="H75" i="2"/>
  <c r="G75" i="2"/>
  <c r="F75" i="2"/>
  <c r="E75" i="2"/>
  <c r="D75" i="2"/>
  <c r="C75" i="2"/>
  <c r="B75" i="2"/>
  <c r="L74" i="2"/>
  <c r="K74" i="2"/>
  <c r="J74" i="2"/>
  <c r="I74" i="2"/>
  <c r="H74" i="2"/>
  <c r="G74" i="2"/>
  <c r="F74" i="2"/>
  <c r="E74" i="2"/>
  <c r="D74" i="2"/>
  <c r="C74" i="2"/>
  <c r="B74" i="2"/>
  <c r="L73" i="2"/>
  <c r="K73" i="2"/>
  <c r="J73" i="2"/>
  <c r="I73" i="2"/>
  <c r="H73" i="2"/>
  <c r="G73" i="2"/>
  <c r="F73" i="2"/>
  <c r="E73" i="2"/>
  <c r="D73" i="2"/>
  <c r="C73" i="2"/>
  <c r="B73" i="2"/>
  <c r="L72" i="2"/>
  <c r="K72" i="2"/>
  <c r="J72" i="2"/>
  <c r="I72" i="2"/>
  <c r="H72" i="2"/>
  <c r="G72" i="2"/>
  <c r="F72" i="2"/>
  <c r="E72" i="2"/>
  <c r="D72" i="2"/>
  <c r="C72" i="2"/>
  <c r="B72" i="2"/>
  <c r="L71" i="2"/>
  <c r="K71" i="2"/>
  <c r="J71" i="2"/>
  <c r="I71" i="2"/>
  <c r="H71" i="2"/>
  <c r="G71" i="2"/>
  <c r="F71" i="2"/>
  <c r="E71" i="2"/>
  <c r="D71" i="2"/>
  <c r="C71" i="2"/>
  <c r="B71" i="2"/>
  <c r="L70" i="2"/>
  <c r="K70" i="2"/>
  <c r="J70" i="2"/>
  <c r="I70" i="2"/>
  <c r="H70" i="2"/>
  <c r="G70" i="2"/>
  <c r="F70" i="2"/>
  <c r="E70" i="2"/>
  <c r="D70" i="2"/>
  <c r="C70" i="2"/>
  <c r="B70" i="2"/>
  <c r="L69" i="2"/>
  <c r="K69" i="2"/>
  <c r="J69" i="2"/>
  <c r="I69" i="2"/>
  <c r="H69" i="2"/>
  <c r="G69" i="2"/>
  <c r="F69" i="2"/>
  <c r="E69" i="2"/>
  <c r="D69" i="2"/>
  <c r="C69" i="2"/>
  <c r="B69" i="2"/>
  <c r="L68" i="2"/>
  <c r="K68" i="2"/>
  <c r="J68" i="2"/>
  <c r="I68" i="2"/>
  <c r="H68" i="2"/>
  <c r="G68" i="2"/>
  <c r="F68" i="2"/>
  <c r="E68" i="2"/>
  <c r="D68" i="2"/>
  <c r="C68" i="2"/>
  <c r="B68" i="2"/>
  <c r="L67" i="2"/>
  <c r="K67" i="2"/>
  <c r="J67" i="2"/>
  <c r="I67" i="2"/>
  <c r="H67" i="2"/>
  <c r="G67" i="2"/>
  <c r="F67" i="2"/>
  <c r="E67" i="2"/>
  <c r="D67" i="2"/>
  <c r="C67" i="2"/>
  <c r="B67" i="2"/>
  <c r="L66" i="2"/>
  <c r="K66" i="2"/>
  <c r="J66" i="2"/>
  <c r="I66" i="2"/>
  <c r="H66" i="2"/>
  <c r="G66" i="2"/>
  <c r="F66" i="2"/>
  <c r="E66" i="2"/>
  <c r="D66" i="2"/>
  <c r="C66" i="2"/>
  <c r="B66" i="2"/>
  <c r="L65" i="2"/>
  <c r="K65" i="2"/>
  <c r="J65" i="2"/>
  <c r="I65" i="2"/>
  <c r="H65" i="2"/>
  <c r="G65" i="2"/>
  <c r="F65" i="2"/>
  <c r="E65" i="2"/>
  <c r="D65" i="2"/>
  <c r="C65" i="2"/>
  <c r="B65" i="2"/>
  <c r="L64" i="2"/>
  <c r="K64" i="2"/>
  <c r="J64" i="2"/>
  <c r="I64" i="2"/>
  <c r="H64" i="2"/>
  <c r="G64" i="2"/>
  <c r="F64" i="2"/>
  <c r="E64" i="2"/>
  <c r="D64" i="2"/>
  <c r="C64" i="2"/>
  <c r="B64" i="2"/>
  <c r="L63" i="2"/>
  <c r="K63" i="2"/>
  <c r="J63" i="2"/>
  <c r="I63" i="2"/>
  <c r="H63" i="2"/>
  <c r="G63" i="2"/>
  <c r="F63" i="2"/>
  <c r="E63" i="2"/>
  <c r="D63" i="2"/>
  <c r="C63" i="2"/>
  <c r="B63" i="2"/>
  <c r="L62" i="2"/>
  <c r="K62" i="2"/>
  <c r="J62" i="2"/>
  <c r="I62" i="2"/>
  <c r="H62" i="2"/>
  <c r="G62" i="2"/>
  <c r="F62" i="2"/>
  <c r="E62" i="2"/>
  <c r="D62" i="2"/>
  <c r="C62" i="2"/>
  <c r="B62" i="2"/>
  <c r="L61" i="2"/>
  <c r="K61" i="2"/>
  <c r="J61" i="2"/>
  <c r="I61" i="2"/>
  <c r="H61" i="2"/>
  <c r="G61" i="2"/>
  <c r="F61" i="2"/>
  <c r="E61" i="2"/>
  <c r="D61" i="2"/>
  <c r="C61" i="2"/>
  <c r="B61" i="2"/>
  <c r="L60" i="2"/>
  <c r="K60" i="2"/>
  <c r="J60" i="2"/>
  <c r="I60" i="2"/>
  <c r="H60" i="2"/>
  <c r="G60" i="2"/>
  <c r="F60" i="2"/>
  <c r="E60" i="2"/>
  <c r="D60" i="2"/>
  <c r="C60" i="2"/>
  <c r="B60" i="2"/>
  <c r="L59" i="2"/>
  <c r="K59" i="2"/>
  <c r="J59" i="2"/>
  <c r="I59" i="2"/>
  <c r="H59" i="2"/>
  <c r="G59" i="2"/>
  <c r="F59" i="2"/>
  <c r="E59" i="2"/>
  <c r="D59" i="2"/>
  <c r="C59" i="2"/>
  <c r="B59" i="2"/>
  <c r="L58" i="2"/>
  <c r="K58" i="2"/>
  <c r="J58" i="2"/>
  <c r="I58" i="2"/>
  <c r="H58" i="2"/>
  <c r="G58" i="2"/>
  <c r="F58" i="2"/>
  <c r="E58" i="2"/>
  <c r="D58" i="2"/>
  <c r="C58" i="2"/>
  <c r="B58" i="2"/>
  <c r="L57" i="2"/>
  <c r="K57" i="2"/>
  <c r="J57" i="2"/>
  <c r="I57" i="2"/>
  <c r="H57" i="2"/>
  <c r="G57" i="2"/>
  <c r="F57" i="2"/>
  <c r="E57" i="2"/>
  <c r="D57" i="2"/>
  <c r="C57" i="2"/>
  <c r="B57" i="2"/>
  <c r="L56" i="2"/>
  <c r="K56" i="2"/>
  <c r="J56" i="2"/>
  <c r="I56" i="2"/>
  <c r="H56" i="2"/>
  <c r="G56" i="2"/>
  <c r="F56" i="2"/>
  <c r="E56" i="2"/>
  <c r="D56" i="2"/>
  <c r="C56" i="2"/>
  <c r="B56" i="2"/>
  <c r="L55" i="2"/>
  <c r="K55" i="2"/>
  <c r="J55" i="2"/>
  <c r="I55" i="2"/>
  <c r="H55" i="2"/>
  <c r="G55" i="2"/>
  <c r="F55" i="2"/>
  <c r="E55" i="2"/>
  <c r="D55" i="2"/>
  <c r="C55" i="2"/>
  <c r="B55" i="2"/>
  <c r="L54" i="2"/>
  <c r="K54" i="2"/>
  <c r="J54" i="2"/>
  <c r="I54" i="2"/>
  <c r="H54" i="2"/>
  <c r="G54" i="2"/>
  <c r="F54" i="2"/>
  <c r="E54" i="2"/>
  <c r="D54" i="2"/>
  <c r="C54" i="2"/>
  <c r="B54" i="2"/>
  <c r="L53" i="2"/>
  <c r="K53" i="2"/>
  <c r="J53" i="2"/>
  <c r="I53" i="2"/>
  <c r="H53" i="2"/>
  <c r="G53" i="2"/>
  <c r="F53" i="2"/>
  <c r="E53" i="2"/>
  <c r="D53" i="2"/>
  <c r="C53" i="2"/>
  <c r="B53" i="2"/>
  <c r="L52" i="2"/>
  <c r="K52" i="2"/>
  <c r="J52" i="2"/>
  <c r="I52" i="2"/>
  <c r="H52" i="2"/>
  <c r="G52" i="2"/>
  <c r="F52" i="2"/>
  <c r="E52" i="2"/>
  <c r="D52" i="2"/>
  <c r="C52" i="2"/>
  <c r="B52" i="2"/>
  <c r="L51" i="2"/>
  <c r="K51" i="2"/>
  <c r="J51" i="2"/>
  <c r="I51" i="2"/>
  <c r="H51" i="2"/>
  <c r="G51" i="2"/>
  <c r="F51" i="2"/>
  <c r="E51" i="2"/>
  <c r="D51" i="2"/>
  <c r="C51" i="2"/>
  <c r="B51" i="2"/>
  <c r="L50" i="2"/>
  <c r="K50" i="2"/>
  <c r="J50" i="2"/>
  <c r="I50" i="2"/>
  <c r="H50" i="2"/>
  <c r="G50" i="2"/>
  <c r="F50" i="2"/>
  <c r="E50" i="2"/>
  <c r="D50" i="2"/>
  <c r="C50" i="2"/>
  <c r="B50" i="2"/>
  <c r="L49" i="2"/>
  <c r="K49" i="2"/>
  <c r="J49" i="2"/>
  <c r="I49" i="2"/>
  <c r="H49" i="2"/>
  <c r="G49" i="2"/>
  <c r="F49" i="2"/>
  <c r="E49" i="2"/>
  <c r="D49" i="2"/>
  <c r="C49" i="2"/>
  <c r="B49" i="2"/>
  <c r="L48" i="2"/>
  <c r="K48" i="2"/>
  <c r="J48" i="2"/>
  <c r="I48" i="2"/>
  <c r="H48" i="2"/>
  <c r="G48" i="2"/>
  <c r="F48" i="2"/>
  <c r="E48" i="2"/>
  <c r="D48" i="2"/>
  <c r="C48" i="2"/>
  <c r="B48" i="2"/>
  <c r="L47" i="2"/>
  <c r="K47" i="2"/>
  <c r="J47" i="2"/>
  <c r="I47" i="2"/>
  <c r="H47" i="2"/>
  <c r="G47" i="2"/>
  <c r="F47" i="2"/>
  <c r="E47" i="2"/>
  <c r="D47" i="2"/>
  <c r="C47" i="2"/>
  <c r="B47" i="2"/>
  <c r="L46" i="2"/>
  <c r="K46" i="2"/>
  <c r="J46" i="2"/>
  <c r="I46" i="2"/>
  <c r="H46" i="2"/>
  <c r="G46" i="2"/>
  <c r="F46" i="2"/>
  <c r="E46" i="2"/>
  <c r="D46" i="2"/>
  <c r="C46" i="2"/>
  <c r="B46" i="2"/>
  <c r="L45" i="2"/>
  <c r="K45" i="2"/>
  <c r="J45" i="2"/>
  <c r="I45" i="2"/>
  <c r="H45" i="2"/>
  <c r="G45" i="2"/>
  <c r="F45" i="2"/>
  <c r="E45" i="2"/>
  <c r="D45" i="2"/>
  <c r="C45" i="2"/>
  <c r="B45" i="2"/>
  <c r="L44" i="2"/>
  <c r="K44" i="2"/>
  <c r="J44" i="2"/>
  <c r="I44" i="2"/>
  <c r="H44" i="2"/>
  <c r="G44" i="2"/>
  <c r="F44" i="2"/>
  <c r="E44" i="2"/>
  <c r="D44" i="2"/>
  <c r="C44" i="2"/>
  <c r="B44" i="2"/>
  <c r="L43" i="2"/>
  <c r="K43" i="2"/>
  <c r="J43" i="2"/>
  <c r="I43" i="2"/>
  <c r="H43" i="2"/>
  <c r="G43" i="2"/>
  <c r="F43" i="2"/>
  <c r="E43" i="2"/>
  <c r="D43" i="2"/>
  <c r="C43" i="2"/>
  <c r="B43" i="2"/>
  <c r="L42" i="2"/>
  <c r="K42" i="2"/>
  <c r="J42" i="2"/>
  <c r="I42" i="2"/>
  <c r="H42" i="2"/>
  <c r="G42" i="2"/>
  <c r="F42" i="2"/>
  <c r="E42" i="2"/>
  <c r="D42" i="2"/>
  <c r="C42" i="2"/>
  <c r="B42" i="2"/>
  <c r="L41" i="2"/>
  <c r="K41" i="2"/>
  <c r="J41" i="2"/>
  <c r="I41" i="2"/>
  <c r="H41" i="2"/>
  <c r="G41" i="2"/>
  <c r="F41" i="2"/>
  <c r="E41" i="2"/>
  <c r="D41" i="2"/>
  <c r="C41" i="2"/>
  <c r="B41" i="2"/>
  <c r="L40" i="2"/>
  <c r="K40" i="2"/>
  <c r="J40" i="2"/>
  <c r="I40" i="2"/>
  <c r="H40" i="2"/>
  <c r="G40" i="2"/>
  <c r="F40" i="2"/>
  <c r="E40" i="2"/>
  <c r="D40" i="2"/>
  <c r="C40" i="2"/>
  <c r="B40" i="2"/>
  <c r="L39" i="2"/>
  <c r="K39" i="2"/>
  <c r="J39" i="2"/>
  <c r="I39" i="2"/>
  <c r="H39" i="2"/>
  <c r="G39" i="2"/>
  <c r="F39" i="2"/>
  <c r="E39" i="2"/>
  <c r="D39" i="2"/>
  <c r="C39" i="2"/>
  <c r="B39" i="2"/>
  <c r="L38" i="2"/>
  <c r="K38" i="2"/>
  <c r="J38" i="2"/>
  <c r="I38" i="2"/>
  <c r="H38" i="2"/>
  <c r="G38" i="2"/>
  <c r="F38" i="2"/>
  <c r="E38" i="2"/>
  <c r="D38" i="2"/>
  <c r="C38" i="2"/>
  <c r="B38" i="2"/>
  <c r="L37" i="2"/>
  <c r="K37" i="2"/>
  <c r="J37" i="2"/>
  <c r="I37" i="2"/>
  <c r="H37" i="2"/>
  <c r="G37" i="2"/>
  <c r="F37" i="2"/>
  <c r="E37" i="2"/>
  <c r="D37" i="2"/>
  <c r="C37" i="2"/>
  <c r="B37" i="2"/>
  <c r="L36" i="2"/>
  <c r="K36" i="2"/>
  <c r="J36" i="2"/>
  <c r="I36" i="2"/>
  <c r="H36" i="2"/>
  <c r="G36" i="2"/>
  <c r="F36" i="2"/>
  <c r="E36" i="2"/>
  <c r="D36" i="2"/>
  <c r="C36" i="2"/>
  <c r="B36" i="2"/>
  <c r="L35" i="2"/>
  <c r="K35" i="2"/>
  <c r="J35" i="2"/>
  <c r="I35" i="2"/>
  <c r="H35" i="2"/>
  <c r="G35" i="2"/>
  <c r="F35" i="2"/>
  <c r="E35" i="2"/>
  <c r="D35" i="2"/>
  <c r="C35" i="2"/>
  <c r="B35" i="2"/>
  <c r="L34" i="2"/>
  <c r="K34" i="2"/>
  <c r="J34" i="2"/>
  <c r="I34" i="2"/>
  <c r="H34" i="2"/>
  <c r="G34" i="2"/>
  <c r="F34" i="2"/>
  <c r="E34" i="2"/>
  <c r="D34" i="2"/>
  <c r="C34" i="2"/>
  <c r="B34" i="2"/>
  <c r="L33" i="2"/>
  <c r="K33" i="2"/>
  <c r="J33" i="2"/>
  <c r="I33" i="2"/>
  <c r="H33" i="2"/>
  <c r="G33" i="2"/>
  <c r="F33" i="2"/>
  <c r="E33" i="2"/>
  <c r="D33" i="2"/>
  <c r="C33" i="2"/>
  <c r="B33" i="2"/>
  <c r="L32" i="2"/>
  <c r="K32" i="2"/>
  <c r="J32" i="2"/>
  <c r="I32" i="2"/>
  <c r="H32" i="2"/>
  <c r="G32" i="2"/>
  <c r="F32" i="2"/>
  <c r="E32" i="2"/>
  <c r="D32" i="2"/>
  <c r="C32" i="2"/>
  <c r="B32" i="2"/>
  <c r="L31" i="2"/>
  <c r="K31" i="2"/>
  <c r="J31" i="2"/>
  <c r="I31" i="2"/>
  <c r="H31" i="2"/>
  <c r="G31" i="2"/>
  <c r="F31" i="2"/>
  <c r="D31" i="2"/>
  <c r="C31" i="2"/>
  <c r="B31" i="2"/>
  <c r="L30" i="2"/>
  <c r="K30" i="2"/>
  <c r="J30" i="2"/>
  <c r="I30" i="2"/>
  <c r="H30" i="2"/>
  <c r="G30" i="2"/>
  <c r="F30" i="2"/>
  <c r="D30" i="2"/>
  <c r="C30" i="2"/>
  <c r="B30" i="2"/>
  <c r="L29" i="2"/>
  <c r="K29" i="2"/>
  <c r="J29" i="2"/>
  <c r="I29" i="2"/>
  <c r="H29" i="2"/>
  <c r="G29" i="2"/>
  <c r="F29" i="2"/>
  <c r="E29" i="2"/>
  <c r="D29" i="2"/>
  <c r="C29" i="2"/>
  <c r="B29" i="2"/>
  <c r="L28" i="2"/>
  <c r="K28" i="2"/>
  <c r="J28" i="2"/>
  <c r="I28" i="2"/>
  <c r="H28" i="2"/>
  <c r="G28" i="2"/>
  <c r="F28" i="2"/>
  <c r="E28" i="2"/>
  <c r="D28" i="2"/>
  <c r="C28" i="2"/>
  <c r="B28" i="2"/>
  <c r="L27" i="2"/>
  <c r="K27" i="2"/>
  <c r="J27" i="2"/>
  <c r="I27" i="2"/>
  <c r="H27" i="2"/>
  <c r="G27" i="2"/>
  <c r="F27" i="2"/>
  <c r="E27" i="2"/>
  <c r="D27" i="2"/>
  <c r="C27" i="2"/>
  <c r="B27" i="2"/>
  <c r="L26" i="2"/>
  <c r="K26" i="2"/>
  <c r="J26" i="2"/>
  <c r="I26" i="2"/>
  <c r="H26" i="2"/>
  <c r="G26" i="2"/>
  <c r="F26" i="2"/>
  <c r="E26" i="2"/>
  <c r="D26" i="2"/>
  <c r="C26" i="2"/>
  <c r="B26" i="2"/>
  <c r="L25" i="2"/>
  <c r="K25" i="2"/>
  <c r="J25" i="2"/>
  <c r="I25" i="2"/>
  <c r="H25" i="2"/>
  <c r="G25" i="2"/>
  <c r="F25" i="2"/>
  <c r="E25" i="2"/>
  <c r="D25" i="2"/>
  <c r="C25" i="2"/>
  <c r="B25" i="2"/>
  <c r="L24" i="2"/>
  <c r="K24" i="2"/>
  <c r="J24" i="2"/>
  <c r="I24" i="2"/>
  <c r="H24" i="2"/>
  <c r="G24" i="2"/>
  <c r="F24" i="2"/>
  <c r="E24" i="2"/>
  <c r="D24" i="2"/>
  <c r="C24" i="2"/>
  <c r="B24" i="2"/>
  <c r="L23" i="2"/>
  <c r="K23" i="2"/>
  <c r="J23" i="2"/>
  <c r="I23" i="2"/>
  <c r="H23" i="2"/>
  <c r="G23" i="2"/>
  <c r="F23" i="2"/>
  <c r="E23" i="2"/>
  <c r="D23" i="2"/>
  <c r="C23" i="2"/>
  <c r="B23" i="2"/>
  <c r="L22" i="2"/>
  <c r="K22" i="2"/>
  <c r="J22" i="2"/>
  <c r="I22" i="2"/>
  <c r="H22" i="2"/>
  <c r="G22" i="2"/>
  <c r="F22" i="2"/>
  <c r="E22" i="2"/>
  <c r="D22" i="2"/>
  <c r="C22" i="2"/>
  <c r="B22" i="2"/>
  <c r="L21" i="2"/>
  <c r="K21" i="2"/>
  <c r="J21" i="2"/>
  <c r="I21" i="2"/>
  <c r="H21" i="2"/>
  <c r="G21" i="2"/>
  <c r="F21" i="2"/>
  <c r="E21" i="2"/>
  <c r="D21" i="2"/>
  <c r="C21" i="2"/>
  <c r="B21" i="2"/>
  <c r="L20" i="2"/>
  <c r="K20" i="2"/>
  <c r="J20" i="2"/>
  <c r="I20" i="2"/>
  <c r="H20" i="2"/>
  <c r="G20" i="2"/>
  <c r="F20" i="2"/>
  <c r="E20" i="2"/>
  <c r="D20" i="2"/>
  <c r="C20" i="2"/>
  <c r="B20" i="2"/>
  <c r="L19" i="2"/>
  <c r="K19" i="2"/>
  <c r="J19" i="2"/>
  <c r="I19" i="2"/>
  <c r="H19" i="2"/>
  <c r="G19" i="2"/>
  <c r="F19" i="2"/>
  <c r="E19" i="2"/>
  <c r="D19" i="2"/>
  <c r="C19" i="2"/>
  <c r="B19" i="2"/>
  <c r="L18" i="2"/>
  <c r="K18" i="2"/>
  <c r="J18" i="2"/>
  <c r="I18" i="2"/>
  <c r="H18" i="2"/>
  <c r="G18" i="2"/>
  <c r="F18" i="2"/>
  <c r="E18" i="2"/>
  <c r="D18" i="2"/>
  <c r="C18" i="2"/>
  <c r="B18" i="2"/>
  <c r="L17" i="2"/>
  <c r="K17" i="2"/>
  <c r="J17" i="2"/>
  <c r="I17" i="2"/>
  <c r="H17" i="2"/>
  <c r="G17" i="2"/>
  <c r="F17" i="2"/>
  <c r="E17" i="2"/>
  <c r="D17" i="2"/>
  <c r="C17" i="2"/>
  <c r="B17" i="2"/>
  <c r="L16" i="2"/>
  <c r="K16" i="2"/>
  <c r="J16" i="2"/>
  <c r="I16" i="2"/>
  <c r="H16" i="2"/>
  <c r="G16" i="2"/>
  <c r="F16" i="2"/>
  <c r="E16" i="2"/>
  <c r="D16" i="2"/>
  <c r="C16" i="2"/>
  <c r="B16" i="2"/>
  <c r="L15" i="2"/>
  <c r="K15" i="2"/>
  <c r="J15" i="2"/>
  <c r="I15" i="2"/>
  <c r="H15" i="2"/>
  <c r="G15" i="2"/>
  <c r="F15" i="2"/>
  <c r="E15" i="2"/>
  <c r="D15" i="2"/>
  <c r="C15" i="2"/>
  <c r="B15" i="2"/>
  <c r="L14" i="2"/>
  <c r="K14" i="2"/>
  <c r="J14" i="2"/>
  <c r="I14" i="2"/>
  <c r="H14" i="2"/>
  <c r="G14" i="2"/>
  <c r="F14" i="2"/>
  <c r="E14" i="2"/>
  <c r="D14" i="2"/>
  <c r="C14" i="2"/>
  <c r="B14" i="2"/>
  <c r="L13" i="2"/>
  <c r="K13" i="2"/>
  <c r="J13" i="2"/>
  <c r="I13" i="2"/>
  <c r="H13" i="2"/>
  <c r="G13" i="2"/>
  <c r="F13" i="2"/>
  <c r="E13" i="2"/>
  <c r="D13" i="2"/>
  <c r="C13" i="2"/>
  <c r="B13" i="2"/>
  <c r="L12" i="2"/>
  <c r="K12" i="2"/>
  <c r="J12" i="2"/>
  <c r="I12" i="2"/>
  <c r="H12" i="2"/>
  <c r="G12" i="2"/>
  <c r="F12" i="2"/>
  <c r="E12" i="2"/>
  <c r="D12" i="2"/>
  <c r="C12" i="2"/>
  <c r="B12" i="2"/>
  <c r="L11" i="2"/>
  <c r="K11" i="2"/>
  <c r="J11" i="2"/>
  <c r="I11" i="2"/>
  <c r="H11" i="2"/>
  <c r="G11" i="2"/>
  <c r="F11" i="2"/>
  <c r="E11" i="2"/>
  <c r="D11" i="2"/>
  <c r="C11" i="2"/>
  <c r="B11" i="2"/>
  <c r="L10" i="2"/>
  <c r="K10" i="2"/>
  <c r="J10" i="2"/>
  <c r="I10" i="2"/>
  <c r="H10" i="2"/>
  <c r="G10" i="2"/>
  <c r="F10" i="2"/>
  <c r="E10" i="2"/>
  <c r="D10" i="2"/>
  <c r="C10" i="2"/>
  <c r="B10" i="2"/>
  <c r="L9" i="2"/>
  <c r="K9" i="2"/>
  <c r="J9" i="2"/>
  <c r="I9" i="2"/>
  <c r="H9" i="2"/>
  <c r="G9" i="2"/>
  <c r="F9" i="2"/>
  <c r="E9" i="2"/>
  <c r="D9" i="2"/>
  <c r="C9" i="2"/>
  <c r="B9" i="2"/>
  <c r="L8" i="2"/>
  <c r="K8" i="2"/>
  <c r="J8" i="2"/>
  <c r="I8" i="2"/>
  <c r="H8" i="2"/>
  <c r="G8" i="2"/>
  <c r="F8" i="2"/>
  <c r="E8" i="2"/>
  <c r="D8" i="2"/>
  <c r="C8" i="2"/>
  <c r="B8" i="2"/>
  <c r="L7" i="2"/>
  <c r="K7" i="2"/>
  <c r="J7" i="2"/>
  <c r="I7" i="2"/>
  <c r="H7" i="2"/>
  <c r="G7" i="2"/>
  <c r="F7" i="2"/>
  <c r="E7" i="2"/>
  <c r="D7" i="2"/>
  <c r="C7" i="2"/>
  <c r="B7" i="2"/>
  <c r="L6" i="2"/>
  <c r="K6" i="2"/>
  <c r="J6" i="2"/>
  <c r="I6" i="2"/>
  <c r="H6" i="2"/>
  <c r="G6" i="2"/>
  <c r="F6" i="2"/>
  <c r="E6" i="2"/>
  <c r="D6" i="2"/>
  <c r="C6" i="2"/>
  <c r="B6" i="2"/>
  <c r="L5" i="2"/>
  <c r="K5" i="2"/>
  <c r="J5" i="2"/>
  <c r="I5" i="2"/>
  <c r="H5" i="2"/>
  <c r="G5" i="2"/>
  <c r="F5" i="2"/>
  <c r="E5" i="2"/>
  <c r="D5" i="2"/>
  <c r="C5" i="2"/>
  <c r="B5" i="2"/>
  <c r="L4" i="2"/>
  <c r="K4" i="2"/>
  <c r="J4" i="2"/>
  <c r="I4" i="2"/>
  <c r="H4" i="2"/>
  <c r="G4" i="2"/>
  <c r="F4" i="2"/>
  <c r="E4" i="2"/>
  <c r="D4" i="2"/>
  <c r="C4" i="2"/>
  <c r="B4" i="2"/>
  <c r="L3" i="2"/>
  <c r="K3" i="2"/>
  <c r="J3" i="2"/>
  <c r="I3" i="2"/>
  <c r="H3" i="2"/>
  <c r="G3" i="2"/>
  <c r="F3" i="2"/>
  <c r="E3" i="2"/>
  <c r="D3" i="2"/>
  <c r="C3" i="2"/>
  <c r="B3" i="2"/>
  <c r="R154" i="1"/>
  <c r="N154" i="1"/>
  <c r="R153" i="1"/>
  <c r="N153" i="1"/>
  <c r="R152" i="1"/>
  <c r="N152" i="1"/>
  <c r="S152" i="1" s="1"/>
  <c r="T152" i="1" s="1"/>
  <c r="R151" i="1"/>
  <c r="N151" i="1"/>
  <c r="R150" i="1"/>
  <c r="N150" i="1"/>
  <c r="R149" i="1"/>
  <c r="N149" i="1"/>
  <c r="R148" i="1"/>
  <c r="N148" i="1"/>
  <c r="R147" i="1"/>
  <c r="N147" i="1"/>
  <c r="R146" i="1"/>
  <c r="N146" i="1"/>
  <c r="R145" i="1"/>
  <c r="N145" i="1"/>
  <c r="R144" i="1"/>
  <c r="N144" i="1"/>
  <c r="R143" i="1"/>
  <c r="N143" i="1"/>
  <c r="R142" i="1"/>
  <c r="N142" i="1"/>
  <c r="R141" i="1"/>
  <c r="N141" i="1"/>
  <c r="R140" i="1"/>
  <c r="N140" i="1"/>
  <c r="R139" i="1"/>
  <c r="N139" i="1"/>
  <c r="R138" i="1"/>
  <c r="N138" i="1"/>
  <c r="R137" i="1"/>
  <c r="N137" i="1"/>
  <c r="R136" i="1"/>
  <c r="N136" i="1"/>
  <c r="R135" i="1"/>
  <c r="N135" i="1"/>
  <c r="R134" i="1"/>
  <c r="N134" i="1"/>
  <c r="R133" i="1"/>
  <c r="N133" i="1"/>
  <c r="R132" i="1"/>
  <c r="N132" i="1"/>
  <c r="R131" i="1"/>
  <c r="N131" i="1"/>
  <c r="R130" i="1"/>
  <c r="N130" i="1"/>
  <c r="R129" i="1"/>
  <c r="N129" i="1"/>
  <c r="R128" i="1"/>
  <c r="N128" i="1"/>
  <c r="R127" i="1"/>
  <c r="N127" i="1"/>
  <c r="R126" i="1"/>
  <c r="N126" i="1"/>
  <c r="R125" i="1"/>
  <c r="N125" i="1"/>
  <c r="R124" i="1"/>
  <c r="N124" i="1"/>
  <c r="R123" i="1"/>
  <c r="S123" i="1" s="1"/>
  <c r="T123" i="1" s="1"/>
  <c r="N123" i="1"/>
  <c r="R122" i="1"/>
  <c r="N122" i="1"/>
  <c r="R121" i="1"/>
  <c r="N121" i="1"/>
  <c r="R120" i="1"/>
  <c r="N120" i="1"/>
  <c r="S120" i="1" s="1"/>
  <c r="T120" i="1" s="1"/>
  <c r="R119" i="1"/>
  <c r="S119" i="1" s="1"/>
  <c r="T119" i="1" s="1"/>
  <c r="N119" i="1"/>
  <c r="R118" i="1"/>
  <c r="N118" i="1"/>
  <c r="R117" i="1"/>
  <c r="N117" i="1"/>
  <c r="R116" i="1"/>
  <c r="N116" i="1"/>
  <c r="R115" i="1"/>
  <c r="S115" i="1" s="1"/>
  <c r="T115" i="1" s="1"/>
  <c r="N115" i="1"/>
  <c r="R114" i="1"/>
  <c r="N114" i="1"/>
  <c r="R113" i="1"/>
  <c r="N113" i="1"/>
  <c r="R112" i="1"/>
  <c r="N112" i="1"/>
  <c r="S112" i="1" s="1"/>
  <c r="T112" i="1" s="1"/>
  <c r="R111" i="1"/>
  <c r="S111" i="1" s="1"/>
  <c r="T111" i="1" s="1"/>
  <c r="N111" i="1"/>
  <c r="R110" i="1"/>
  <c r="N110" i="1"/>
  <c r="R109" i="1"/>
  <c r="N109" i="1"/>
  <c r="R108" i="1"/>
  <c r="N108" i="1"/>
  <c r="R107" i="1"/>
  <c r="S107" i="1" s="1"/>
  <c r="T107" i="1" s="1"/>
  <c r="N107" i="1"/>
  <c r="R106" i="1"/>
  <c r="N106" i="1"/>
  <c r="R105" i="1"/>
  <c r="N105" i="1"/>
  <c r="R104" i="1"/>
  <c r="N104" i="1"/>
  <c r="S104" i="1" s="1"/>
  <c r="T104" i="1" s="1"/>
  <c r="R103" i="1"/>
  <c r="S103" i="1" s="1"/>
  <c r="T103" i="1" s="1"/>
  <c r="N103" i="1"/>
  <c r="R102" i="1"/>
  <c r="N102" i="1"/>
  <c r="R101" i="1"/>
  <c r="N101" i="1"/>
  <c r="R100" i="1"/>
  <c r="N100" i="1"/>
  <c r="R99" i="1"/>
  <c r="S99" i="1" s="1"/>
  <c r="T99" i="1" s="1"/>
  <c r="N99" i="1"/>
  <c r="R98" i="1"/>
  <c r="N98" i="1"/>
  <c r="R97" i="1"/>
  <c r="N97" i="1"/>
  <c r="R96" i="1"/>
  <c r="N96" i="1"/>
  <c r="S96" i="1" s="1"/>
  <c r="T96" i="1" s="1"/>
  <c r="R95" i="1"/>
  <c r="S95" i="1" s="1"/>
  <c r="T95" i="1" s="1"/>
  <c r="N95" i="1"/>
  <c r="R94" i="1"/>
  <c r="N94" i="1"/>
  <c r="R93" i="1"/>
  <c r="N93" i="1"/>
  <c r="R92" i="1"/>
  <c r="N92" i="1"/>
  <c r="R91" i="1"/>
  <c r="N91" i="1"/>
  <c r="R90" i="1"/>
  <c r="N90" i="1"/>
  <c r="R89" i="1"/>
  <c r="N89" i="1"/>
  <c r="R88" i="1"/>
  <c r="N88" i="1"/>
  <c r="R87" i="1"/>
  <c r="N87" i="1"/>
  <c r="R86" i="1"/>
  <c r="N86" i="1"/>
  <c r="R85" i="1"/>
  <c r="N85" i="1"/>
  <c r="R84" i="1"/>
  <c r="N84" i="1"/>
  <c r="R83" i="1"/>
  <c r="N83" i="1"/>
  <c r="R82" i="1"/>
  <c r="N82" i="1"/>
  <c r="R81" i="1"/>
  <c r="N81" i="1"/>
  <c r="R80" i="1"/>
  <c r="N80" i="1"/>
  <c r="R79" i="1"/>
  <c r="N79" i="1"/>
  <c r="R78" i="1"/>
  <c r="N78" i="1"/>
  <c r="R77" i="1"/>
  <c r="N77" i="1"/>
  <c r="R76" i="1"/>
  <c r="N76" i="1"/>
  <c r="R75" i="1"/>
  <c r="S75" i="1" s="1"/>
  <c r="T75" i="1" s="1"/>
  <c r="N75" i="1"/>
  <c r="R74" i="1"/>
  <c r="N74" i="1"/>
  <c r="R73" i="1"/>
  <c r="N73" i="1"/>
  <c r="R72" i="1"/>
  <c r="N72" i="1"/>
  <c r="R71" i="1"/>
  <c r="N71" i="1"/>
  <c r="R70" i="1"/>
  <c r="N70" i="1"/>
  <c r="R69" i="1"/>
  <c r="N69" i="1"/>
  <c r="R68" i="1"/>
  <c r="N68" i="1"/>
  <c r="R67" i="1"/>
  <c r="N67" i="1"/>
  <c r="R66" i="1"/>
  <c r="N66" i="1"/>
  <c r="R65" i="1"/>
  <c r="N65" i="1"/>
  <c r="R64" i="1"/>
  <c r="N64" i="1"/>
  <c r="R63" i="1"/>
  <c r="N63" i="1"/>
  <c r="R62" i="1"/>
  <c r="N62" i="1"/>
  <c r="R61" i="1"/>
  <c r="N61" i="1"/>
  <c r="R60" i="1"/>
  <c r="N60" i="1"/>
  <c r="R59" i="1"/>
  <c r="N59" i="1"/>
  <c r="R58" i="1"/>
  <c r="N58" i="1"/>
  <c r="R57" i="1"/>
  <c r="N57" i="1"/>
  <c r="R56" i="1"/>
  <c r="N56" i="1"/>
  <c r="R55" i="1"/>
  <c r="N55" i="1"/>
  <c r="R54" i="1"/>
  <c r="N54" i="1"/>
  <c r="R53" i="1"/>
  <c r="N53" i="1"/>
  <c r="R52" i="1"/>
  <c r="N52" i="1"/>
  <c r="R51" i="1"/>
  <c r="N51" i="1"/>
  <c r="R50" i="1"/>
  <c r="N50" i="1"/>
  <c r="R49" i="1"/>
  <c r="N49" i="1"/>
  <c r="R48" i="1"/>
  <c r="N48" i="1"/>
  <c r="R47" i="1"/>
  <c r="N47" i="1"/>
  <c r="R46" i="1"/>
  <c r="N46" i="1"/>
  <c r="R45" i="1"/>
  <c r="N45" i="1"/>
  <c r="R44" i="1"/>
  <c r="N44" i="1"/>
  <c r="R43" i="1"/>
  <c r="N43" i="1"/>
  <c r="R42" i="1"/>
  <c r="N42" i="1"/>
  <c r="R41" i="1"/>
  <c r="N41" i="1"/>
  <c r="R40" i="1"/>
  <c r="N40" i="1"/>
  <c r="R39" i="1"/>
  <c r="N39" i="1"/>
  <c r="R38" i="1"/>
  <c r="N38" i="1"/>
  <c r="R37" i="1"/>
  <c r="N37" i="1"/>
  <c r="R36" i="1"/>
  <c r="N36" i="1"/>
  <c r="R35" i="1"/>
  <c r="N35" i="1"/>
  <c r="R33" i="1"/>
  <c r="N33" i="1"/>
  <c r="R32" i="1"/>
  <c r="N32" i="1"/>
  <c r="S32" i="1" s="1"/>
  <c r="T32" i="1" s="1"/>
  <c r="R31" i="1"/>
  <c r="N31" i="1"/>
  <c r="R30" i="1"/>
  <c r="N30" i="1"/>
  <c r="R29" i="1"/>
  <c r="N29" i="1"/>
  <c r="R28" i="1"/>
  <c r="N28" i="1"/>
  <c r="R27" i="1"/>
  <c r="N27" i="1"/>
  <c r="R26" i="1"/>
  <c r="N26" i="1"/>
  <c r="R25" i="1"/>
  <c r="N25" i="1"/>
  <c r="R24" i="1"/>
  <c r="N24" i="1"/>
  <c r="R23" i="1"/>
  <c r="N23" i="1"/>
  <c r="R22" i="1"/>
  <c r="N22" i="1"/>
  <c r="R21" i="1"/>
  <c r="N21" i="1"/>
  <c r="R20" i="1"/>
  <c r="N20" i="1"/>
  <c r="R19" i="1"/>
  <c r="N19" i="1"/>
  <c r="R18" i="1"/>
  <c r="N18" i="1"/>
  <c r="R17" i="1"/>
  <c r="N17" i="1"/>
  <c r="R16" i="1"/>
  <c r="N16" i="1"/>
  <c r="S16" i="1" s="1"/>
  <c r="T16" i="1" s="1"/>
  <c r="R15" i="1"/>
  <c r="N15" i="1"/>
  <c r="R14" i="1"/>
  <c r="N14" i="1"/>
  <c r="R13" i="1"/>
  <c r="N13" i="1"/>
  <c r="R12" i="1"/>
  <c r="N12" i="1"/>
  <c r="R11" i="1"/>
  <c r="N11" i="1"/>
  <c r="R10" i="1"/>
  <c r="N10" i="1"/>
  <c r="R9" i="1"/>
  <c r="N9" i="1"/>
  <c r="R8" i="1"/>
  <c r="N8" i="1"/>
  <c r="S8" i="1" s="1"/>
  <c r="T8" i="1" s="1"/>
  <c r="R7" i="1"/>
  <c r="N7" i="1"/>
  <c r="R6" i="1"/>
  <c r="N6" i="1"/>
  <c r="R5" i="1"/>
  <c r="N5" i="1"/>
  <c r="S66" i="1" l="1"/>
  <c r="T66" i="1" s="1"/>
  <c r="S46" i="1"/>
  <c r="T46" i="1" s="1"/>
  <c r="S68" i="1"/>
  <c r="T68" i="1" s="1"/>
  <c r="S116" i="1"/>
  <c r="T116" i="1" s="1"/>
  <c r="S124" i="1"/>
  <c r="T124" i="1" s="1"/>
  <c r="S62" i="1"/>
  <c r="T62" i="1" s="1"/>
  <c r="S36" i="1"/>
  <c r="T36" i="1" s="1"/>
  <c r="S108" i="1"/>
  <c r="T108" i="1" s="1"/>
  <c r="S48" i="1"/>
  <c r="T48" i="1" s="1"/>
  <c r="S56" i="1"/>
  <c r="T56" i="1" s="1"/>
  <c r="S54" i="1"/>
  <c r="T54" i="1" s="1"/>
  <c r="S100" i="1"/>
  <c r="T100" i="1" s="1"/>
  <c r="S40" i="1"/>
  <c r="T40" i="1" s="1"/>
  <c r="S69" i="1"/>
  <c r="T69" i="1" s="1"/>
  <c r="S28" i="1"/>
  <c r="T28" i="1" s="1"/>
  <c r="S60" i="1"/>
  <c r="T60" i="1" s="1"/>
  <c r="S37" i="1"/>
  <c r="T37" i="1" s="1"/>
  <c r="S47" i="1"/>
  <c r="T47" i="1" s="1"/>
  <c r="S74" i="1"/>
  <c r="T74" i="1" s="1"/>
  <c r="S94" i="1"/>
  <c r="T94" i="1" s="1"/>
  <c r="S102" i="1"/>
  <c r="T102" i="1" s="1"/>
  <c r="S126" i="1"/>
  <c r="T126" i="1" s="1"/>
  <c r="S134" i="1"/>
  <c r="T134" i="1" s="1"/>
  <c r="S150" i="1"/>
  <c r="T150" i="1" s="1"/>
  <c r="S39" i="1"/>
  <c r="T39" i="1" s="1"/>
  <c r="S55" i="1"/>
  <c r="T55" i="1" s="1"/>
  <c r="S98" i="1"/>
  <c r="T98" i="1" s="1"/>
  <c r="S106" i="1"/>
  <c r="T106" i="1" s="1"/>
  <c r="S130" i="1"/>
  <c r="T130" i="1" s="1"/>
  <c r="S138" i="1"/>
  <c r="T138" i="1" s="1"/>
  <c r="S142" i="1"/>
  <c r="T142" i="1" s="1"/>
  <c r="S146" i="1"/>
  <c r="T146" i="1" s="1"/>
  <c r="S154" i="1"/>
  <c r="T154" i="1" s="1"/>
  <c r="S44" i="1"/>
  <c r="T44" i="1" s="1"/>
  <c r="S59" i="1"/>
  <c r="T59" i="1" s="1"/>
  <c r="S53" i="1"/>
  <c r="T53" i="1" s="1"/>
  <c r="S45" i="1"/>
  <c r="T45" i="1" s="1"/>
  <c r="S61" i="1"/>
  <c r="T61" i="1" s="1"/>
  <c r="S72" i="1"/>
  <c r="T72" i="1" s="1"/>
  <c r="S93" i="1"/>
  <c r="T93" i="1" s="1"/>
  <c r="S125" i="1"/>
  <c r="T125" i="1" s="1"/>
  <c r="S64" i="1"/>
  <c r="T64" i="1" s="1"/>
  <c r="S77" i="1"/>
  <c r="T77" i="1" s="1"/>
  <c r="S109" i="1"/>
  <c r="T109" i="1" s="1"/>
  <c r="S149" i="1"/>
  <c r="T149" i="1" s="1"/>
  <c r="S127" i="1"/>
  <c r="T127" i="1" s="1"/>
  <c r="S52" i="1"/>
  <c r="T52" i="1" s="1"/>
  <c r="S80" i="1"/>
  <c r="T80" i="1" s="1"/>
  <c r="S84" i="1"/>
  <c r="T84" i="1" s="1"/>
  <c r="S88" i="1"/>
  <c r="T88" i="1" s="1"/>
  <c r="S92" i="1"/>
  <c r="T92" i="1" s="1"/>
  <c r="S141" i="1"/>
  <c r="T141" i="1" s="1"/>
  <c r="S133" i="1"/>
  <c r="T133" i="1" s="1"/>
  <c r="S117" i="1"/>
  <c r="T117" i="1" s="1"/>
  <c r="S101" i="1"/>
  <c r="T101" i="1" s="1"/>
  <c r="S85" i="1"/>
  <c r="T85" i="1" s="1"/>
  <c r="S135" i="1"/>
  <c r="T135" i="1" s="1"/>
  <c r="S7" i="1"/>
  <c r="T7" i="1" s="1"/>
  <c r="S23" i="1"/>
  <c r="T23" i="1" s="1"/>
  <c r="S42" i="1"/>
  <c r="T42" i="1" s="1"/>
  <c r="S128" i="1"/>
  <c r="T128" i="1" s="1"/>
  <c r="S132" i="1"/>
  <c r="T132" i="1" s="1"/>
  <c r="S136" i="1"/>
  <c r="T136" i="1" s="1"/>
  <c r="S140" i="1"/>
  <c r="T140" i="1" s="1"/>
  <c r="S144" i="1"/>
  <c r="T144" i="1" s="1"/>
  <c r="S148" i="1"/>
  <c r="T148" i="1" s="1"/>
  <c r="S151" i="1"/>
  <c r="T151" i="1" s="1"/>
  <c r="S147" i="1"/>
  <c r="T147" i="1" s="1"/>
  <c r="S153" i="1"/>
  <c r="T153" i="1" s="1"/>
  <c r="S145" i="1"/>
  <c r="T145" i="1" s="1"/>
  <c r="S137" i="1"/>
  <c r="T137" i="1" s="1"/>
  <c r="S129" i="1"/>
  <c r="T129" i="1" s="1"/>
  <c r="S121" i="1"/>
  <c r="T121" i="1" s="1"/>
  <c r="S113" i="1"/>
  <c r="T113" i="1" s="1"/>
  <c r="S105" i="1"/>
  <c r="T105" i="1" s="1"/>
  <c r="S97" i="1"/>
  <c r="T97" i="1" s="1"/>
  <c r="S89" i="1"/>
  <c r="T89" i="1" s="1"/>
  <c r="S81" i="1"/>
  <c r="T81" i="1" s="1"/>
  <c r="S73" i="1"/>
  <c r="T73" i="1" s="1"/>
  <c r="S65" i="1"/>
  <c r="T65" i="1" s="1"/>
  <c r="S57" i="1"/>
  <c r="T57" i="1" s="1"/>
  <c r="S49" i="1"/>
  <c r="T49" i="1" s="1"/>
  <c r="S41" i="1"/>
  <c r="T41" i="1" s="1"/>
  <c r="S131" i="1"/>
  <c r="T131" i="1" s="1"/>
  <c r="S50" i="1"/>
  <c r="T50" i="1" s="1"/>
  <c r="S78" i="1"/>
  <c r="T78" i="1" s="1"/>
  <c r="S82" i="1"/>
  <c r="T82" i="1" s="1"/>
  <c r="S86" i="1"/>
  <c r="T86" i="1" s="1"/>
  <c r="S90" i="1"/>
  <c r="T90" i="1" s="1"/>
  <c r="S70" i="1"/>
  <c r="T70" i="1" s="1"/>
  <c r="S139" i="1"/>
  <c r="T139" i="1" s="1"/>
  <c r="S38" i="1"/>
  <c r="T38" i="1" s="1"/>
  <c r="S63" i="1"/>
  <c r="T63" i="1" s="1"/>
  <c r="S143" i="1"/>
  <c r="T143" i="1" s="1"/>
  <c r="S58" i="1"/>
  <c r="T58" i="1" s="1"/>
  <c r="S76" i="1"/>
  <c r="T76" i="1" s="1"/>
  <c r="S79" i="1"/>
  <c r="T79" i="1" s="1"/>
  <c r="S83" i="1"/>
  <c r="T83" i="1" s="1"/>
  <c r="S87" i="1"/>
  <c r="T87" i="1" s="1"/>
  <c r="S91" i="1"/>
  <c r="T91" i="1" s="1"/>
  <c r="S110" i="1"/>
  <c r="T110" i="1" s="1"/>
  <c r="S114" i="1"/>
  <c r="T114" i="1" s="1"/>
  <c r="S118" i="1"/>
  <c r="T118" i="1" s="1"/>
  <c r="S122" i="1"/>
  <c r="T122" i="1" s="1"/>
  <c r="S31" i="1"/>
  <c r="T31" i="1" s="1"/>
  <c r="S25" i="1"/>
  <c r="T25" i="1" s="1"/>
  <c r="S12" i="1"/>
  <c r="T12" i="1" s="1"/>
  <c r="S24" i="1"/>
  <c r="T24" i="1" s="1"/>
  <c r="S5" i="1"/>
  <c r="T5" i="1" s="1"/>
  <c r="S18" i="1"/>
  <c r="T18" i="1" s="1"/>
  <c r="S14" i="1"/>
  <c r="T14" i="1" s="1"/>
  <c r="S20" i="1"/>
  <c r="T20" i="1" s="1"/>
  <c r="S33" i="1"/>
  <c r="T33" i="1" s="1"/>
  <c r="S9" i="1"/>
  <c r="T9" i="1" s="1"/>
  <c r="S17" i="1"/>
  <c r="T17" i="1" s="1"/>
  <c r="S15" i="1"/>
  <c r="T15" i="1" s="1"/>
  <c r="S10" i="1"/>
  <c r="T10" i="1" s="1"/>
  <c r="S6" i="1"/>
  <c r="T6" i="1" s="1"/>
  <c r="S13" i="1"/>
  <c r="T13" i="1" s="1"/>
  <c r="S29" i="1"/>
  <c r="T29" i="1" s="1"/>
  <c r="S30" i="1"/>
  <c r="T30" i="1" s="1"/>
  <c r="S21" i="1"/>
  <c r="T21" i="1" s="1"/>
  <c r="S22" i="1"/>
  <c r="T22" i="1" s="1"/>
  <c r="S26" i="1"/>
  <c r="T26" i="1" s="1"/>
  <c r="S67" i="1"/>
  <c r="T67" i="1" s="1"/>
  <c r="S11" i="1"/>
  <c r="T11" i="1" s="1"/>
  <c r="S19" i="1"/>
  <c r="T19" i="1" s="1"/>
  <c r="S27" i="1"/>
  <c r="T27" i="1" s="1"/>
  <c r="S35" i="1"/>
  <c r="T35" i="1" s="1"/>
  <c r="S43" i="1"/>
  <c r="T43" i="1" s="1"/>
  <c r="S51" i="1"/>
  <c r="T51" i="1" s="1"/>
  <c r="S71" i="1"/>
  <c r="T71" i="1" s="1"/>
</calcChain>
</file>

<file path=xl/sharedStrings.xml><?xml version="1.0" encoding="utf-8"?>
<sst xmlns="http://schemas.openxmlformats.org/spreadsheetml/2006/main" count="98" uniqueCount="97">
  <si>
    <t>م</t>
  </si>
  <si>
    <t>الاسم</t>
  </si>
  <si>
    <t>سنة سادسة</t>
  </si>
  <si>
    <t>الألحان  (300)</t>
  </si>
  <si>
    <t>المواد الدراسية (150)</t>
  </si>
  <si>
    <t>الحضور والغياب (150)</t>
  </si>
  <si>
    <t>المجموع الكلي (600)</t>
  </si>
  <si>
    <t>النسبة المئوية</t>
  </si>
  <si>
    <t>تيرم 1 (100)</t>
  </si>
  <si>
    <t>تيرم ثاني (110)</t>
  </si>
  <si>
    <t>تيرم ثالث (90)</t>
  </si>
  <si>
    <t>مجموع الألحان</t>
  </si>
  <si>
    <t>طقس (40)</t>
  </si>
  <si>
    <t>قبطي (40)</t>
  </si>
  <si>
    <t>كتاب مقدس (30)</t>
  </si>
  <si>
    <t>عقيدة (25)</t>
  </si>
  <si>
    <t>أجبية (15)</t>
  </si>
  <si>
    <t xml:space="preserve">مجموع المواد الدراسية </t>
  </si>
  <si>
    <t>تيرم 1</t>
  </si>
  <si>
    <t>تيرم 2</t>
  </si>
  <si>
    <t xml:space="preserve">تيرم 3 </t>
  </si>
  <si>
    <t xml:space="preserve">مجموع درجات الحضور </t>
  </si>
  <si>
    <t>المزمور الأول</t>
  </si>
  <si>
    <t>المزمور الثاني</t>
  </si>
  <si>
    <t>المزمور الثالث</t>
  </si>
  <si>
    <t>ماريان عماد</t>
  </si>
  <si>
    <t>كيرلس ايمن كامل</t>
  </si>
  <si>
    <t>جون رضا</t>
  </si>
  <si>
    <t>ديفيد ريمون داود</t>
  </si>
  <si>
    <t>كيرلس طلعت حربي</t>
  </si>
  <si>
    <t>كيفين رضا حنا رياض</t>
  </si>
  <si>
    <t>بيشوي  ادم</t>
  </si>
  <si>
    <t>يوستينا فخري اسحق</t>
  </si>
  <si>
    <t xml:space="preserve">يوستينا منصور </t>
  </si>
  <si>
    <t>ابانوب برسوم</t>
  </si>
  <si>
    <t>بيتر ماجد معوض</t>
  </si>
  <si>
    <t>دميانه ابراهيم</t>
  </si>
  <si>
    <t>بيشوي جورج نظير</t>
  </si>
  <si>
    <t>كيرلس مينا هارون</t>
  </si>
  <si>
    <t>جوليا ظريف</t>
  </si>
  <si>
    <t>اسومين مكرم اسعد</t>
  </si>
  <si>
    <t>انطون ناصر نشأت</t>
  </si>
  <si>
    <t>ابراهيم الامجد رأفت</t>
  </si>
  <si>
    <t>مينا صلاح برسوم</t>
  </si>
  <si>
    <t>مريم نعيم لبيب</t>
  </si>
  <si>
    <t>فيلوباتير عبدالملاك</t>
  </si>
  <si>
    <t>كيرلس نادي</t>
  </si>
  <si>
    <t>كاراس جميل ايوب</t>
  </si>
  <si>
    <t>يسي عزمي</t>
  </si>
  <si>
    <t>ابرام ايهاب</t>
  </si>
  <si>
    <t>الحان 1</t>
  </si>
  <si>
    <t>طقس</t>
  </si>
  <si>
    <t>محفوظات 1</t>
  </si>
  <si>
    <t>الحان 2</t>
  </si>
  <si>
    <t>قبطي</t>
  </si>
  <si>
    <t>محفوظات 2</t>
  </si>
  <si>
    <t>الحان 3</t>
  </si>
  <si>
    <t>كتاب مقدس</t>
  </si>
  <si>
    <t>محفوظات 3</t>
  </si>
  <si>
    <t>عقيدة</t>
  </si>
  <si>
    <t>اسرة البابا اثناسيوس (6)</t>
  </si>
  <si>
    <t>اندريه منير</t>
  </si>
  <si>
    <t>سوسنة سامح</t>
  </si>
  <si>
    <t>ميرنا يوسف</t>
  </si>
  <si>
    <t>سارة عماد</t>
  </si>
  <si>
    <t>username</t>
  </si>
  <si>
    <t>SD20-0001</t>
  </si>
  <si>
    <t>SD20-0002</t>
  </si>
  <si>
    <t>SD20-0003</t>
  </si>
  <si>
    <t>SD20-0004</t>
  </si>
  <si>
    <t>SD20-0005</t>
  </si>
  <si>
    <t>SD20-0006</t>
  </si>
  <si>
    <t>SD20-0007</t>
  </si>
  <si>
    <t>SD20-0008</t>
  </si>
  <si>
    <t>SD20-0009</t>
  </si>
  <si>
    <t>SD20-0010</t>
  </si>
  <si>
    <t>SD20-0011</t>
  </si>
  <si>
    <t>SD20-0012</t>
  </si>
  <si>
    <t>SD20-0013</t>
  </si>
  <si>
    <t>SD20-0014</t>
  </si>
  <si>
    <t>SD20-0015</t>
  </si>
  <si>
    <t>SD20-0016</t>
  </si>
  <si>
    <t>SD20-0017</t>
  </si>
  <si>
    <t>SD20-0018</t>
  </si>
  <si>
    <t>SD20-0019</t>
  </si>
  <si>
    <t>SD20-0020</t>
  </si>
  <si>
    <t>SD20-0021</t>
  </si>
  <si>
    <t>SD20-0022</t>
  </si>
  <si>
    <t>SD20-0023</t>
  </si>
  <si>
    <t>SD20-0024</t>
  </si>
  <si>
    <t>SD20-0025</t>
  </si>
  <si>
    <t>SD20-0026</t>
  </si>
  <si>
    <t>SD20-0027</t>
  </si>
  <si>
    <t>SD20-0028</t>
  </si>
  <si>
    <t>SD20-0029</t>
  </si>
  <si>
    <t>SDS-0012</t>
  </si>
  <si>
    <t>مخدوم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</si>
</sst>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rgb="FF000000"/>
      <name val="Calibri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sz val="14"/>
      <name val="Calibri"/>
      <family val="2"/>
    </font>
    <font>
      <sz val="11"/>
      <name val="Arial"/>
      <family val="2"/>
    </font>
    <font>
      <sz val="20"/>
      <color rgb="FF000000"/>
      <name val="Calibri"/>
      <family val="2"/>
      <scheme val="minor"/>
    </font>
    <font>
      <sz val="12"/>
      <name val="Calibri"/>
      <family val="2"/>
    </font>
    <font>
      <sz val="12"/>
      <name val="Webdings"/>
      <family val="1"/>
      <charset val="2"/>
    </font>
    <font>
      <b/>
      <sz val="12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3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10" fillId="0" borderId="0" xfId="0" applyFont="1"/>
    <xf numFmtId="0" fontId="4" fillId="0" borderId="5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52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3" borderId="50" xfId="0" applyFont="1" applyFill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3" borderId="3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6" xfId="0" applyFont="1" applyBorder="1" applyAlignment="1">
      <alignment horizontal="center"/>
    </xf>
    <xf numFmtId="0" fontId="5" fillId="3" borderId="50" xfId="0" applyFont="1" applyFill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3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49" fontId="13" fillId="6" borderId="60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8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4" xfId="0" applyFont="1" applyBorder="1"/>
    <xf numFmtId="0" fontId="3" fillId="2" borderId="11" xfId="0" applyFont="1" applyFill="1" applyBorder="1" applyAlignment="1">
      <alignment horizontal="center" vertical="center"/>
    </xf>
    <xf numFmtId="0" fontId="2" fillId="0" borderId="20" xfId="0" applyFont="1" applyBorder="1"/>
    <xf numFmtId="0" fontId="3" fillId="2" borderId="12" xfId="0" applyFont="1" applyFill="1" applyBorder="1" applyAlignment="1">
      <alignment horizontal="center" vertical="center"/>
    </xf>
    <xf numFmtId="0" fontId="2" fillId="0" borderId="21" xfId="0" applyFont="1" applyBorder="1"/>
    <xf numFmtId="0" fontId="3" fillId="2" borderId="53" xfId="0" applyFont="1" applyFill="1" applyBorder="1" applyAlignment="1">
      <alignment horizontal="center" vertical="center"/>
    </xf>
    <xf numFmtId="0" fontId="2" fillId="0" borderId="54" xfId="0" applyFont="1" applyBorder="1"/>
    <xf numFmtId="0" fontId="3" fillId="2" borderId="57" xfId="0" applyFont="1" applyFill="1" applyBorder="1" applyAlignment="1">
      <alignment horizontal="center" vertical="center"/>
    </xf>
    <xf numFmtId="0" fontId="2" fillId="0" borderId="58" xfId="0" applyFont="1" applyBorder="1"/>
    <xf numFmtId="0" fontId="3" fillId="2" borderId="10" xfId="0" applyFont="1" applyFill="1" applyBorder="1" applyAlignment="1">
      <alignment horizontal="center" vertical="center"/>
    </xf>
    <xf numFmtId="0" fontId="2" fillId="0" borderId="19" xfId="0" applyFont="1" applyBorder="1"/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3" fillId="2" borderId="13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/>
    <xf numFmtId="0" fontId="2" fillId="0" borderId="55" xfId="0" applyFont="1" applyBorder="1"/>
    <xf numFmtId="0" fontId="2" fillId="0" borderId="2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6" fillId="5" borderId="48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</font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</font>
    </dxf>
    <dxf>
      <font>
        <strike val="0"/>
        <outline val="0"/>
        <shadow val="0"/>
        <u val="none"/>
        <vertAlign val="baseline"/>
        <sz val="12"/>
        <color auto="1"/>
      </font>
    </dxf>
    <dxf>
      <font>
        <strike val="0"/>
        <outline val="0"/>
        <shadow val="0"/>
        <u val="none"/>
        <vertAlign val="baseline"/>
        <sz val="12"/>
        <color auto="1"/>
      </font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النتيجة-style" pivot="0" count="2" xr9:uid="{00000000-0011-0000-FFFF-FFFF00000000}">
      <tableStyleElement type="firstRowStripe" dxfId="17"/>
      <tableStyleElement type="secondRowStripe" dxfId="16"/>
    </tableStyle>
  </tableStyles>
  <colors>
    <mruColors>
      <color rgb="FFCC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L152" headerRowDxfId="15" dataDxfId="13" totalsRowDxfId="12" headerRowBorderDxfId="14">
  <tableColumns count="12">
    <tableColumn id="1" xr3:uid="{00000000-0010-0000-0000-000001000000}" name="م" dataDxfId="11"/>
    <tableColumn id="2" xr3:uid="{00000000-0010-0000-0000-000002000000}" name="الاسم" dataDxfId="10"/>
    <tableColumn id="3" xr3:uid="{00000000-0010-0000-0000-000003000000}" name="الحان 1" dataDxfId="9"/>
    <tableColumn id="4" xr3:uid="{00000000-0010-0000-0000-000004000000}" name="طقس" dataDxfId="8"/>
    <tableColumn id="5" xr3:uid="{00000000-0010-0000-0000-000005000000}" name="محفوظات 1" dataDxfId="7"/>
    <tableColumn id="6" xr3:uid="{00000000-0010-0000-0000-000006000000}" name="الحان 2" dataDxfId="6"/>
    <tableColumn id="7" xr3:uid="{00000000-0010-0000-0000-000007000000}" name="قبطي" dataDxfId="5"/>
    <tableColumn id="8" xr3:uid="{00000000-0010-0000-0000-000008000000}" name="محفوظات 2" dataDxfId="4"/>
    <tableColumn id="9" xr3:uid="{00000000-0010-0000-0000-000009000000}" name="الحان 3" dataDxfId="3"/>
    <tableColumn id="10" xr3:uid="{00000000-0010-0000-0000-00000A000000}" name="كتاب مقدس" dataDxfId="2"/>
    <tableColumn id="11" xr3:uid="{00000000-0010-0000-0000-00000B000000}" name="محفوظات 3" dataDxfId="1"/>
    <tableColumn id="12" xr3:uid="{00000000-0010-0000-0000-00000C000000}" name="عقيدة" dataDxfId="0"/>
  </tableColumns>
  <tableStyleInfo name="النتيجة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4"/>
  <sheetViews>
    <sheetView rightToLeft="1" tabSelected="1" topLeftCell="A16" zoomScale="85" zoomScaleNormal="67" workbookViewId="0">
      <selection activeCell="B35" sqref="B35"/>
    </sheetView>
  </sheetViews>
  <sheetFormatPr defaultColWidth="14.44140625" defaultRowHeight="15" customHeight="1" x14ac:dyDescent="0.3"/>
  <cols>
    <col min="1" max="2" width="24.109375" customWidth="1"/>
    <col min="3" max="3" width="14.33203125" customWidth="1"/>
    <col min="4" max="4" width="14.33203125" style="56" customWidth="1"/>
    <col min="5" max="5" width="14.33203125" style="60" customWidth="1"/>
    <col min="6" max="6" width="20" customWidth="1"/>
    <col min="7" max="10" width="17.109375" customWidth="1"/>
    <col min="11" max="12" width="13.33203125" customWidth="1"/>
    <col min="13" max="13" width="13.88671875" customWidth="1"/>
    <col min="14" max="14" width="21.44140625" customWidth="1"/>
    <col min="15" max="17" width="8.6640625" customWidth="1"/>
    <col min="18" max="18" width="21.44140625" customWidth="1"/>
    <col min="19" max="19" width="24.33203125" customWidth="1"/>
    <col min="20" max="20" width="17.5546875" customWidth="1"/>
  </cols>
  <sheetData>
    <row r="1" spans="1:20" ht="27.75" customHeight="1" thickBot="1" x14ac:dyDescent="0.35">
      <c r="A1" s="71" t="s">
        <v>1</v>
      </c>
      <c r="B1" s="93" t="s">
        <v>65</v>
      </c>
      <c r="C1" s="68" t="s">
        <v>2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7"/>
    </row>
    <row r="2" spans="1:20" ht="35.25" customHeight="1" thickBot="1" x14ac:dyDescent="0.35">
      <c r="A2" s="72"/>
      <c r="B2" s="94"/>
      <c r="C2" s="65" t="s">
        <v>3</v>
      </c>
      <c r="D2" s="66"/>
      <c r="E2" s="90"/>
      <c r="F2" s="91"/>
      <c r="G2" s="65" t="s">
        <v>4</v>
      </c>
      <c r="H2" s="66"/>
      <c r="I2" s="66"/>
      <c r="J2" s="66"/>
      <c r="K2" s="66"/>
      <c r="L2" s="66"/>
      <c r="M2" s="66"/>
      <c r="N2" s="67"/>
      <c r="O2" s="65" t="s">
        <v>5</v>
      </c>
      <c r="P2" s="66"/>
      <c r="Q2" s="66"/>
      <c r="R2" s="67"/>
      <c r="S2" s="71" t="s">
        <v>6</v>
      </c>
      <c r="T2" s="73" t="s">
        <v>7</v>
      </c>
    </row>
    <row r="3" spans="1:20" ht="20.25" customHeight="1" x14ac:dyDescent="0.3">
      <c r="A3" s="72"/>
      <c r="B3" s="94"/>
      <c r="C3" s="84" t="s">
        <v>8</v>
      </c>
      <c r="D3" s="78" t="s">
        <v>9</v>
      </c>
      <c r="E3" s="82" t="s">
        <v>10</v>
      </c>
      <c r="F3" s="82" t="s">
        <v>11</v>
      </c>
      <c r="G3" s="80" t="s">
        <v>12</v>
      </c>
      <c r="H3" s="76" t="s">
        <v>13</v>
      </c>
      <c r="I3" s="76" t="s">
        <v>14</v>
      </c>
      <c r="J3" s="88" t="s">
        <v>15</v>
      </c>
      <c r="K3" s="86" t="s">
        <v>16</v>
      </c>
      <c r="L3" s="87"/>
      <c r="M3" s="87"/>
      <c r="N3" s="69" t="s">
        <v>17</v>
      </c>
      <c r="O3" s="84" t="s">
        <v>18</v>
      </c>
      <c r="P3" s="76" t="s">
        <v>19</v>
      </c>
      <c r="Q3" s="78" t="s">
        <v>20</v>
      </c>
      <c r="R3" s="69" t="s">
        <v>21</v>
      </c>
      <c r="S3" s="72"/>
      <c r="T3" s="74"/>
    </row>
    <row r="4" spans="1:20" ht="27.75" customHeight="1" thickBot="1" x14ac:dyDescent="0.35">
      <c r="A4" s="70"/>
      <c r="B4" s="95"/>
      <c r="C4" s="85"/>
      <c r="D4" s="92"/>
      <c r="E4" s="89"/>
      <c r="F4" s="83"/>
      <c r="G4" s="81"/>
      <c r="H4" s="77"/>
      <c r="I4" s="77"/>
      <c r="J4" s="77"/>
      <c r="K4" s="1" t="s">
        <v>22</v>
      </c>
      <c r="L4" s="2" t="s">
        <v>23</v>
      </c>
      <c r="M4" s="2" t="s">
        <v>24</v>
      </c>
      <c r="N4" s="70"/>
      <c r="O4" s="85"/>
      <c r="P4" s="77"/>
      <c r="Q4" s="79"/>
      <c r="R4" s="70"/>
      <c r="S4" s="70"/>
      <c r="T4" s="75"/>
    </row>
    <row r="5" spans="1:20" ht="18" x14ac:dyDescent="0.35">
      <c r="A5" s="3" t="s">
        <v>25</v>
      </c>
      <c r="B5" s="62" t="s">
        <v>66</v>
      </c>
      <c r="C5" s="21">
        <v>93</v>
      </c>
      <c r="D5" s="53">
        <v>101</v>
      </c>
      <c r="E5" s="57">
        <v>45</v>
      </c>
      <c r="F5" s="48">
        <f>SUM(C5:E5)</f>
        <v>239</v>
      </c>
      <c r="G5" s="41">
        <v>33</v>
      </c>
      <c r="H5" s="5">
        <v>39</v>
      </c>
      <c r="I5" s="5">
        <v>25</v>
      </c>
      <c r="J5" s="5">
        <v>16</v>
      </c>
      <c r="K5" s="6">
        <v>5</v>
      </c>
      <c r="L5" s="7">
        <v>4</v>
      </c>
      <c r="M5" s="7">
        <v>4.5</v>
      </c>
      <c r="N5" s="8">
        <f t="shared" ref="N5:N154" si="0">SUM(G5:M5)</f>
        <v>126.5</v>
      </c>
      <c r="O5" s="9">
        <v>15</v>
      </c>
      <c r="P5" s="5">
        <v>25</v>
      </c>
      <c r="Q5" s="7">
        <v>5</v>
      </c>
      <c r="R5" s="8">
        <f t="shared" ref="R5:R154" si="1">SUM(O5:Q5)</f>
        <v>45</v>
      </c>
      <c r="S5" s="8">
        <f t="shared" ref="S5:S154" si="2">SUM(R5,N5,F5)</f>
        <v>410.5</v>
      </c>
      <c r="T5" s="10">
        <f t="shared" ref="T5:T154" si="3">S5/600*100</f>
        <v>68.416666666666671</v>
      </c>
    </row>
    <row r="6" spans="1:20" ht="18" x14ac:dyDescent="0.35">
      <c r="A6" s="11" t="s">
        <v>26</v>
      </c>
      <c r="B6" s="62" t="s">
        <v>67</v>
      </c>
      <c r="C6" s="12">
        <v>72</v>
      </c>
      <c r="D6" s="54">
        <v>78.5</v>
      </c>
      <c r="E6" s="58">
        <v>53.5</v>
      </c>
      <c r="F6" s="47">
        <f t="shared" ref="F6:F69" si="4">SUM(C6:E6)</f>
        <v>204</v>
      </c>
      <c r="G6" s="42">
        <v>38</v>
      </c>
      <c r="H6" s="13">
        <v>35</v>
      </c>
      <c r="I6" s="13">
        <v>27.5</v>
      </c>
      <c r="J6" s="13">
        <v>25</v>
      </c>
      <c r="K6" s="14">
        <v>5</v>
      </c>
      <c r="L6" s="15">
        <v>4.5</v>
      </c>
      <c r="M6" s="15">
        <v>5</v>
      </c>
      <c r="N6" s="16">
        <f t="shared" si="0"/>
        <v>140</v>
      </c>
      <c r="O6" s="17">
        <v>50</v>
      </c>
      <c r="P6" s="13">
        <v>40</v>
      </c>
      <c r="Q6" s="15">
        <v>5</v>
      </c>
      <c r="R6" s="16">
        <f t="shared" si="1"/>
        <v>95</v>
      </c>
      <c r="S6" s="16">
        <f t="shared" si="2"/>
        <v>439</v>
      </c>
      <c r="T6" s="18">
        <f>S6/600*100</f>
        <v>73.166666666666671</v>
      </c>
    </row>
    <row r="7" spans="1:20" ht="18" x14ac:dyDescent="0.35">
      <c r="A7" s="20" t="s">
        <v>27</v>
      </c>
      <c r="B7" s="62" t="s">
        <v>68</v>
      </c>
      <c r="C7" s="21">
        <v>81.5</v>
      </c>
      <c r="D7" s="55">
        <v>93</v>
      </c>
      <c r="E7" s="59">
        <v>69</v>
      </c>
      <c r="F7" s="46">
        <f t="shared" si="4"/>
        <v>243.5</v>
      </c>
      <c r="G7" s="43">
        <v>20</v>
      </c>
      <c r="H7" s="22">
        <v>27</v>
      </c>
      <c r="I7" s="22">
        <v>26</v>
      </c>
      <c r="J7" s="22">
        <v>19</v>
      </c>
      <c r="K7" s="23">
        <v>5</v>
      </c>
      <c r="L7" s="24">
        <v>4</v>
      </c>
      <c r="M7" s="24">
        <v>4</v>
      </c>
      <c r="N7" s="8">
        <f t="shared" si="0"/>
        <v>105</v>
      </c>
      <c r="O7" s="25">
        <v>50</v>
      </c>
      <c r="P7" s="22">
        <v>50</v>
      </c>
      <c r="Q7" s="24">
        <v>45</v>
      </c>
      <c r="R7" s="8">
        <f t="shared" si="1"/>
        <v>145</v>
      </c>
      <c r="S7" s="8">
        <f t="shared" si="2"/>
        <v>493.5</v>
      </c>
      <c r="T7" s="10">
        <f t="shared" si="3"/>
        <v>82.25</v>
      </c>
    </row>
    <row r="8" spans="1:20" ht="18" x14ac:dyDescent="0.35">
      <c r="A8" s="11" t="s">
        <v>28</v>
      </c>
      <c r="B8" s="62" t="s">
        <v>69</v>
      </c>
      <c r="C8" s="12">
        <v>98</v>
      </c>
      <c r="D8" s="54">
        <v>107</v>
      </c>
      <c r="E8" s="58">
        <v>86.5</v>
      </c>
      <c r="F8" s="47">
        <f t="shared" si="4"/>
        <v>291.5</v>
      </c>
      <c r="G8" s="42">
        <v>34</v>
      </c>
      <c r="H8" s="13">
        <v>36</v>
      </c>
      <c r="I8" s="13">
        <v>30</v>
      </c>
      <c r="J8" s="13">
        <v>25</v>
      </c>
      <c r="K8" s="14">
        <v>5</v>
      </c>
      <c r="L8" s="15">
        <v>4.5</v>
      </c>
      <c r="M8" s="15">
        <v>5</v>
      </c>
      <c r="N8" s="16">
        <f t="shared" si="0"/>
        <v>139.5</v>
      </c>
      <c r="O8" s="17">
        <v>50</v>
      </c>
      <c r="P8" s="13">
        <v>50</v>
      </c>
      <c r="Q8" s="15">
        <v>45</v>
      </c>
      <c r="R8" s="16">
        <f t="shared" si="1"/>
        <v>145</v>
      </c>
      <c r="S8" s="16">
        <f t="shared" si="2"/>
        <v>576</v>
      </c>
      <c r="T8" s="18">
        <f t="shared" si="3"/>
        <v>96</v>
      </c>
    </row>
    <row r="9" spans="1:20" ht="18" x14ac:dyDescent="0.35">
      <c r="A9" s="20" t="s">
        <v>29</v>
      </c>
      <c r="B9" s="62" t="s">
        <v>70</v>
      </c>
      <c r="C9" s="21">
        <v>68</v>
      </c>
      <c r="D9" s="55">
        <v>85.5</v>
      </c>
      <c r="E9" s="59">
        <v>47.5</v>
      </c>
      <c r="F9" s="46">
        <f t="shared" si="4"/>
        <v>201</v>
      </c>
      <c r="G9" s="43">
        <v>27</v>
      </c>
      <c r="H9" s="22">
        <v>34</v>
      </c>
      <c r="I9" s="22">
        <v>21</v>
      </c>
      <c r="J9" s="22">
        <v>21</v>
      </c>
      <c r="K9" s="23">
        <v>4</v>
      </c>
      <c r="L9" s="24">
        <v>4.5</v>
      </c>
      <c r="M9" s="24">
        <v>3</v>
      </c>
      <c r="N9" s="8">
        <f t="shared" si="0"/>
        <v>114.5</v>
      </c>
      <c r="O9" s="25">
        <v>50</v>
      </c>
      <c r="P9" s="22">
        <v>40</v>
      </c>
      <c r="Q9" s="24">
        <v>40</v>
      </c>
      <c r="R9" s="8">
        <f t="shared" si="1"/>
        <v>130</v>
      </c>
      <c r="S9" s="8">
        <f t="shared" si="2"/>
        <v>445.5</v>
      </c>
      <c r="T9" s="10">
        <f t="shared" si="3"/>
        <v>74.25</v>
      </c>
    </row>
    <row r="10" spans="1:20" ht="18" x14ac:dyDescent="0.35">
      <c r="A10" s="11" t="s">
        <v>30</v>
      </c>
      <c r="B10" s="62" t="s">
        <v>71</v>
      </c>
      <c r="C10" s="12">
        <v>84.5</v>
      </c>
      <c r="D10" s="54">
        <v>92</v>
      </c>
      <c r="E10" s="58">
        <v>76</v>
      </c>
      <c r="F10" s="47">
        <f t="shared" si="4"/>
        <v>252.5</v>
      </c>
      <c r="G10" s="42">
        <v>28</v>
      </c>
      <c r="H10" s="13">
        <v>22</v>
      </c>
      <c r="I10" s="13">
        <v>18</v>
      </c>
      <c r="J10" s="13">
        <v>22</v>
      </c>
      <c r="K10" s="14">
        <v>5</v>
      </c>
      <c r="L10" s="15">
        <v>4.5</v>
      </c>
      <c r="M10" s="15">
        <v>5</v>
      </c>
      <c r="N10" s="16">
        <f t="shared" si="0"/>
        <v>104.5</v>
      </c>
      <c r="O10" s="17">
        <v>50</v>
      </c>
      <c r="P10" s="13">
        <v>45</v>
      </c>
      <c r="Q10" s="15">
        <v>35</v>
      </c>
      <c r="R10" s="16">
        <f t="shared" si="1"/>
        <v>130</v>
      </c>
      <c r="S10" s="16">
        <f t="shared" si="2"/>
        <v>487</v>
      </c>
      <c r="T10" s="18">
        <f t="shared" si="3"/>
        <v>81.166666666666671</v>
      </c>
    </row>
    <row r="11" spans="1:20" ht="18" x14ac:dyDescent="0.35">
      <c r="A11" s="20" t="s">
        <v>31</v>
      </c>
      <c r="B11" s="62" t="s">
        <v>72</v>
      </c>
      <c r="C11" s="21">
        <v>63.5</v>
      </c>
      <c r="D11" s="55">
        <v>60</v>
      </c>
      <c r="E11" s="59">
        <v>37</v>
      </c>
      <c r="F11" s="46">
        <f t="shared" si="4"/>
        <v>160.5</v>
      </c>
      <c r="G11" s="43">
        <v>27</v>
      </c>
      <c r="H11" s="22">
        <v>20</v>
      </c>
      <c r="I11" s="22">
        <v>15</v>
      </c>
      <c r="J11" s="22">
        <v>12.5</v>
      </c>
      <c r="K11" s="23">
        <v>3</v>
      </c>
      <c r="L11" s="24">
        <v>5</v>
      </c>
      <c r="M11" s="24">
        <v>4.5</v>
      </c>
      <c r="N11" s="8">
        <f t="shared" si="0"/>
        <v>87</v>
      </c>
      <c r="O11" s="25">
        <v>50</v>
      </c>
      <c r="P11" s="22">
        <v>35</v>
      </c>
      <c r="Q11" s="24">
        <v>40</v>
      </c>
      <c r="R11" s="8">
        <f t="shared" si="1"/>
        <v>125</v>
      </c>
      <c r="S11" s="8">
        <f t="shared" si="2"/>
        <v>372.5</v>
      </c>
      <c r="T11" s="10">
        <f t="shared" si="3"/>
        <v>62.083333333333336</v>
      </c>
    </row>
    <row r="12" spans="1:20" ht="18" x14ac:dyDescent="0.35">
      <c r="A12" s="11" t="s">
        <v>32</v>
      </c>
      <c r="B12" s="62" t="s">
        <v>73</v>
      </c>
      <c r="C12" s="12">
        <v>58.5</v>
      </c>
      <c r="D12" s="54">
        <v>74</v>
      </c>
      <c r="E12" s="58">
        <v>57.5</v>
      </c>
      <c r="F12" s="47">
        <f t="shared" si="4"/>
        <v>190</v>
      </c>
      <c r="G12" s="42">
        <v>20</v>
      </c>
      <c r="H12" s="13">
        <v>20</v>
      </c>
      <c r="I12" s="13">
        <v>16.5</v>
      </c>
      <c r="J12" s="13">
        <v>12.5</v>
      </c>
      <c r="K12" s="14">
        <v>5</v>
      </c>
      <c r="L12" s="15">
        <v>3</v>
      </c>
      <c r="M12" s="15">
        <v>2.5</v>
      </c>
      <c r="N12" s="16">
        <f t="shared" si="0"/>
        <v>79.5</v>
      </c>
      <c r="O12" s="17">
        <v>30</v>
      </c>
      <c r="P12" s="13">
        <v>30</v>
      </c>
      <c r="Q12" s="15">
        <v>25</v>
      </c>
      <c r="R12" s="16">
        <f t="shared" si="1"/>
        <v>85</v>
      </c>
      <c r="S12" s="16">
        <f t="shared" si="2"/>
        <v>354.5</v>
      </c>
      <c r="T12" s="18">
        <f t="shared" si="3"/>
        <v>59.083333333333329</v>
      </c>
    </row>
    <row r="13" spans="1:20" ht="18" x14ac:dyDescent="0.35">
      <c r="A13" s="20" t="s">
        <v>33</v>
      </c>
      <c r="B13" s="62" t="s">
        <v>74</v>
      </c>
      <c r="C13" s="21">
        <v>55.5</v>
      </c>
      <c r="D13" s="55">
        <v>89</v>
      </c>
      <c r="E13" s="59">
        <v>56</v>
      </c>
      <c r="F13" s="46">
        <f t="shared" si="4"/>
        <v>200.5</v>
      </c>
      <c r="G13" s="43">
        <v>27</v>
      </c>
      <c r="H13" s="22">
        <v>23.5</v>
      </c>
      <c r="I13" s="22">
        <v>24</v>
      </c>
      <c r="J13" s="22">
        <v>20</v>
      </c>
      <c r="K13" s="23">
        <v>5</v>
      </c>
      <c r="L13" s="24">
        <v>4</v>
      </c>
      <c r="M13" s="24">
        <v>4.5</v>
      </c>
      <c r="N13" s="8">
        <f t="shared" si="0"/>
        <v>108</v>
      </c>
      <c r="O13" s="25">
        <v>50</v>
      </c>
      <c r="P13" s="22">
        <v>40</v>
      </c>
      <c r="Q13" s="24">
        <v>30</v>
      </c>
      <c r="R13" s="8">
        <f t="shared" si="1"/>
        <v>120</v>
      </c>
      <c r="S13" s="8">
        <f t="shared" si="2"/>
        <v>428.5</v>
      </c>
      <c r="T13" s="10">
        <f t="shared" si="3"/>
        <v>71.416666666666657</v>
      </c>
    </row>
    <row r="14" spans="1:20" ht="18" x14ac:dyDescent="0.35">
      <c r="A14" s="11" t="s">
        <v>34</v>
      </c>
      <c r="B14" s="62" t="s">
        <v>75</v>
      </c>
      <c r="C14" s="12">
        <v>96</v>
      </c>
      <c r="D14" s="54">
        <v>105</v>
      </c>
      <c r="E14" s="58">
        <v>84</v>
      </c>
      <c r="F14" s="47">
        <f t="shared" si="4"/>
        <v>285</v>
      </c>
      <c r="G14" s="42">
        <v>33</v>
      </c>
      <c r="H14" s="13">
        <v>34.5</v>
      </c>
      <c r="I14" s="13">
        <v>30</v>
      </c>
      <c r="J14" s="13">
        <v>17.5</v>
      </c>
      <c r="K14" s="14">
        <v>5</v>
      </c>
      <c r="L14" s="15">
        <v>5</v>
      </c>
      <c r="M14" s="15">
        <v>5</v>
      </c>
      <c r="N14" s="16">
        <f t="shared" si="0"/>
        <v>130</v>
      </c>
      <c r="O14" s="17">
        <v>50</v>
      </c>
      <c r="P14" s="13">
        <v>50</v>
      </c>
      <c r="Q14" s="15">
        <v>45</v>
      </c>
      <c r="R14" s="16">
        <f t="shared" si="1"/>
        <v>145</v>
      </c>
      <c r="S14" s="16">
        <f t="shared" si="2"/>
        <v>560</v>
      </c>
      <c r="T14" s="18">
        <f t="shared" si="3"/>
        <v>93.333333333333329</v>
      </c>
    </row>
    <row r="15" spans="1:20" ht="18" x14ac:dyDescent="0.35">
      <c r="A15" s="20" t="s">
        <v>35</v>
      </c>
      <c r="B15" s="62" t="s">
        <v>76</v>
      </c>
      <c r="C15" s="21">
        <v>100</v>
      </c>
      <c r="D15" s="55">
        <v>106.5</v>
      </c>
      <c r="E15" s="59">
        <v>81</v>
      </c>
      <c r="F15" s="46">
        <f t="shared" si="4"/>
        <v>287.5</v>
      </c>
      <c r="G15" s="43">
        <v>34</v>
      </c>
      <c r="H15" s="22">
        <v>22.5</v>
      </c>
      <c r="I15" s="22">
        <v>24</v>
      </c>
      <c r="J15" s="22">
        <v>19</v>
      </c>
      <c r="K15" s="23">
        <v>2.5</v>
      </c>
      <c r="L15" s="24">
        <v>3</v>
      </c>
      <c r="M15" s="24">
        <v>3</v>
      </c>
      <c r="N15" s="8">
        <f t="shared" si="0"/>
        <v>108</v>
      </c>
      <c r="O15" s="25">
        <v>50</v>
      </c>
      <c r="P15" s="22">
        <v>45</v>
      </c>
      <c r="Q15" s="24">
        <v>40</v>
      </c>
      <c r="R15" s="8">
        <f t="shared" si="1"/>
        <v>135</v>
      </c>
      <c r="S15" s="8">
        <f t="shared" si="2"/>
        <v>530.5</v>
      </c>
      <c r="T15" s="10">
        <f t="shared" si="3"/>
        <v>88.416666666666671</v>
      </c>
    </row>
    <row r="16" spans="1:20" ht="18" x14ac:dyDescent="0.35">
      <c r="A16" s="11" t="s">
        <v>36</v>
      </c>
      <c r="B16" s="62" t="s">
        <v>77</v>
      </c>
      <c r="C16" s="12">
        <v>89.5</v>
      </c>
      <c r="D16" s="54">
        <v>82.5</v>
      </c>
      <c r="E16" s="58">
        <v>68</v>
      </c>
      <c r="F16" s="47">
        <f t="shared" si="4"/>
        <v>240</v>
      </c>
      <c r="G16" s="42">
        <v>27</v>
      </c>
      <c r="H16" s="13">
        <v>25.5</v>
      </c>
      <c r="I16" s="13">
        <v>25</v>
      </c>
      <c r="J16" s="13">
        <v>18</v>
      </c>
      <c r="K16" s="14">
        <v>5</v>
      </c>
      <c r="L16" s="15">
        <v>4.5</v>
      </c>
      <c r="M16" s="15">
        <v>5</v>
      </c>
      <c r="N16" s="16">
        <f t="shared" si="0"/>
        <v>110</v>
      </c>
      <c r="O16" s="17">
        <v>50</v>
      </c>
      <c r="P16" s="13">
        <v>50</v>
      </c>
      <c r="Q16" s="15">
        <v>40</v>
      </c>
      <c r="R16" s="16">
        <f t="shared" si="1"/>
        <v>140</v>
      </c>
      <c r="S16" s="16">
        <f t="shared" si="2"/>
        <v>490</v>
      </c>
      <c r="T16" s="18">
        <f t="shared" si="3"/>
        <v>81.666666666666671</v>
      </c>
    </row>
    <row r="17" spans="1:20" ht="18" x14ac:dyDescent="0.35">
      <c r="A17" s="20" t="s">
        <v>37</v>
      </c>
      <c r="B17" s="62" t="s">
        <v>78</v>
      </c>
      <c r="C17" s="21">
        <v>75</v>
      </c>
      <c r="D17" s="55">
        <v>82.5</v>
      </c>
      <c r="E17" s="59">
        <v>75</v>
      </c>
      <c r="F17" s="46">
        <f t="shared" si="4"/>
        <v>232.5</v>
      </c>
      <c r="G17" s="43">
        <v>28</v>
      </c>
      <c r="H17" s="22">
        <v>20</v>
      </c>
      <c r="I17" s="22">
        <v>19</v>
      </c>
      <c r="J17" s="22">
        <v>14</v>
      </c>
      <c r="K17" s="23">
        <v>4</v>
      </c>
      <c r="L17" s="24">
        <v>2.5</v>
      </c>
      <c r="M17" s="24">
        <v>2.5</v>
      </c>
      <c r="N17" s="8">
        <f t="shared" si="0"/>
        <v>90</v>
      </c>
      <c r="O17" s="25">
        <v>50</v>
      </c>
      <c r="P17" s="22">
        <v>35</v>
      </c>
      <c r="Q17" s="24">
        <v>35</v>
      </c>
      <c r="R17" s="8">
        <f t="shared" si="1"/>
        <v>120</v>
      </c>
      <c r="S17" s="8">
        <f t="shared" si="2"/>
        <v>442.5</v>
      </c>
      <c r="T17" s="10">
        <f t="shared" si="3"/>
        <v>73.75</v>
      </c>
    </row>
    <row r="18" spans="1:20" ht="18" x14ac:dyDescent="0.35">
      <c r="A18" s="11" t="s">
        <v>38</v>
      </c>
      <c r="B18" s="62" t="s">
        <v>79</v>
      </c>
      <c r="C18" s="12">
        <v>87.5</v>
      </c>
      <c r="D18" s="54">
        <v>96.5</v>
      </c>
      <c r="E18" s="58">
        <v>84</v>
      </c>
      <c r="F18" s="47">
        <f t="shared" si="4"/>
        <v>268</v>
      </c>
      <c r="G18" s="42">
        <v>23</v>
      </c>
      <c r="H18" s="13">
        <v>28</v>
      </c>
      <c r="I18" s="13">
        <v>26.5</v>
      </c>
      <c r="J18" s="13">
        <v>17</v>
      </c>
      <c r="K18" s="14">
        <v>5</v>
      </c>
      <c r="L18" s="15">
        <v>5</v>
      </c>
      <c r="M18" s="15">
        <v>5</v>
      </c>
      <c r="N18" s="16">
        <f t="shared" si="0"/>
        <v>109.5</v>
      </c>
      <c r="O18" s="17">
        <v>50</v>
      </c>
      <c r="P18" s="13">
        <v>50</v>
      </c>
      <c r="Q18" s="15">
        <v>45</v>
      </c>
      <c r="R18" s="16">
        <f t="shared" si="1"/>
        <v>145</v>
      </c>
      <c r="S18" s="16">
        <f t="shared" si="2"/>
        <v>522.5</v>
      </c>
      <c r="T18" s="18">
        <f t="shared" si="3"/>
        <v>87.083333333333329</v>
      </c>
    </row>
    <row r="19" spans="1:20" ht="18" x14ac:dyDescent="0.35">
      <c r="A19" s="20" t="s">
        <v>39</v>
      </c>
      <c r="B19" s="62" t="s">
        <v>80</v>
      </c>
      <c r="C19" s="21">
        <v>85.5</v>
      </c>
      <c r="D19" s="55">
        <v>96.5</v>
      </c>
      <c r="E19" s="59">
        <v>34.5</v>
      </c>
      <c r="F19" s="46">
        <f t="shared" si="4"/>
        <v>216.5</v>
      </c>
      <c r="G19" s="43">
        <v>29</v>
      </c>
      <c r="H19" s="22">
        <v>28</v>
      </c>
      <c r="I19" s="22">
        <v>23.5</v>
      </c>
      <c r="J19" s="22">
        <v>20</v>
      </c>
      <c r="K19" s="23">
        <v>5</v>
      </c>
      <c r="L19" s="24">
        <v>4</v>
      </c>
      <c r="M19" s="24">
        <v>4</v>
      </c>
      <c r="N19" s="8">
        <f t="shared" si="0"/>
        <v>113.5</v>
      </c>
      <c r="O19" s="25">
        <v>50</v>
      </c>
      <c r="P19" s="22">
        <v>45</v>
      </c>
      <c r="Q19" s="24">
        <v>8</v>
      </c>
      <c r="R19" s="8">
        <f t="shared" si="1"/>
        <v>103</v>
      </c>
      <c r="S19" s="8">
        <f t="shared" si="2"/>
        <v>433</v>
      </c>
      <c r="T19" s="10">
        <f t="shared" si="3"/>
        <v>72.166666666666671</v>
      </c>
    </row>
    <row r="20" spans="1:20" ht="18" x14ac:dyDescent="0.35">
      <c r="A20" s="11" t="s">
        <v>40</v>
      </c>
      <c r="B20" s="62" t="s">
        <v>81</v>
      </c>
      <c r="C20" s="12">
        <v>96.5</v>
      </c>
      <c r="D20" s="54">
        <v>94.5</v>
      </c>
      <c r="E20" s="58">
        <v>83.5</v>
      </c>
      <c r="F20" s="47">
        <f t="shared" si="4"/>
        <v>274.5</v>
      </c>
      <c r="G20" s="42">
        <v>31</v>
      </c>
      <c r="H20" s="13">
        <v>38.5</v>
      </c>
      <c r="I20" s="13">
        <v>24</v>
      </c>
      <c r="J20" s="13">
        <v>24</v>
      </c>
      <c r="K20" s="14">
        <v>3</v>
      </c>
      <c r="L20" s="15">
        <v>5</v>
      </c>
      <c r="M20" s="15">
        <v>5</v>
      </c>
      <c r="N20" s="16">
        <f t="shared" si="0"/>
        <v>130.5</v>
      </c>
      <c r="O20" s="17">
        <v>50</v>
      </c>
      <c r="P20" s="13">
        <v>50</v>
      </c>
      <c r="Q20" s="15">
        <v>45</v>
      </c>
      <c r="R20" s="16">
        <f t="shared" si="1"/>
        <v>145</v>
      </c>
      <c r="S20" s="16">
        <f t="shared" si="2"/>
        <v>550</v>
      </c>
      <c r="T20" s="18">
        <f t="shared" si="3"/>
        <v>91.666666666666657</v>
      </c>
    </row>
    <row r="21" spans="1:20" ht="15.6" customHeight="1" x14ac:dyDescent="0.35">
      <c r="A21" s="20" t="s">
        <v>41</v>
      </c>
      <c r="B21" s="62" t="s">
        <v>82</v>
      </c>
      <c r="C21" s="21">
        <v>55.5</v>
      </c>
      <c r="D21" s="55">
        <v>55</v>
      </c>
      <c r="E21" s="59">
        <v>42</v>
      </c>
      <c r="F21" s="46">
        <f t="shared" si="4"/>
        <v>152.5</v>
      </c>
      <c r="G21" s="43">
        <v>25</v>
      </c>
      <c r="H21" s="22">
        <v>27</v>
      </c>
      <c r="I21" s="22">
        <v>17</v>
      </c>
      <c r="J21" s="22">
        <v>21</v>
      </c>
      <c r="K21" s="23">
        <v>5</v>
      </c>
      <c r="L21" s="24">
        <v>5</v>
      </c>
      <c r="M21" s="24">
        <v>5</v>
      </c>
      <c r="N21" s="8">
        <f t="shared" si="0"/>
        <v>105</v>
      </c>
      <c r="O21" s="25">
        <v>50</v>
      </c>
      <c r="P21" s="22">
        <v>45</v>
      </c>
      <c r="Q21" s="24">
        <v>35</v>
      </c>
      <c r="R21" s="8">
        <f t="shared" si="1"/>
        <v>130</v>
      </c>
      <c r="S21" s="8">
        <f t="shared" si="2"/>
        <v>387.5</v>
      </c>
      <c r="T21" s="10">
        <f t="shared" si="3"/>
        <v>64.583333333333343</v>
      </c>
    </row>
    <row r="22" spans="1:20" ht="15.75" customHeight="1" x14ac:dyDescent="0.35">
      <c r="A22" s="11" t="s">
        <v>42</v>
      </c>
      <c r="B22" s="62" t="s">
        <v>83</v>
      </c>
      <c r="C22" s="12">
        <v>57.5</v>
      </c>
      <c r="D22" s="54">
        <v>43.5</v>
      </c>
      <c r="E22" s="58">
        <v>49</v>
      </c>
      <c r="F22" s="47">
        <f t="shared" si="4"/>
        <v>150</v>
      </c>
      <c r="G22" s="42">
        <v>20</v>
      </c>
      <c r="H22" s="13">
        <v>32</v>
      </c>
      <c r="I22" s="13">
        <v>19</v>
      </c>
      <c r="J22" s="13">
        <v>18</v>
      </c>
      <c r="K22" s="14">
        <v>5</v>
      </c>
      <c r="L22" s="15">
        <v>5</v>
      </c>
      <c r="M22" s="15">
        <v>3</v>
      </c>
      <c r="N22" s="16">
        <f t="shared" si="0"/>
        <v>102</v>
      </c>
      <c r="O22" s="17">
        <v>50</v>
      </c>
      <c r="P22" s="13">
        <v>50</v>
      </c>
      <c r="Q22" s="15">
        <v>45</v>
      </c>
      <c r="R22" s="16">
        <f t="shared" si="1"/>
        <v>145</v>
      </c>
      <c r="S22" s="16">
        <f t="shared" si="2"/>
        <v>397</v>
      </c>
      <c r="T22" s="18">
        <f t="shared" si="3"/>
        <v>66.166666666666657</v>
      </c>
    </row>
    <row r="23" spans="1:20" ht="15.6" customHeight="1" x14ac:dyDescent="0.35">
      <c r="A23" s="20" t="s">
        <v>43</v>
      </c>
      <c r="B23" s="62" t="s">
        <v>84</v>
      </c>
      <c r="C23" s="21">
        <v>98.5</v>
      </c>
      <c r="D23" s="55">
        <v>100.5</v>
      </c>
      <c r="E23" s="59">
        <v>77</v>
      </c>
      <c r="F23" s="46">
        <f t="shared" si="4"/>
        <v>276</v>
      </c>
      <c r="G23" s="43">
        <v>28</v>
      </c>
      <c r="H23" s="22">
        <v>26</v>
      </c>
      <c r="I23" s="22">
        <v>20.5</v>
      </c>
      <c r="J23" s="22">
        <v>15</v>
      </c>
      <c r="K23" s="23">
        <v>5</v>
      </c>
      <c r="L23" s="24">
        <v>2.5</v>
      </c>
      <c r="M23" s="24">
        <v>2.5</v>
      </c>
      <c r="N23" s="8">
        <f t="shared" si="0"/>
        <v>99.5</v>
      </c>
      <c r="O23" s="25">
        <v>50</v>
      </c>
      <c r="P23" s="22">
        <v>20</v>
      </c>
      <c r="Q23" s="24">
        <v>40</v>
      </c>
      <c r="R23" s="8">
        <f t="shared" si="1"/>
        <v>110</v>
      </c>
      <c r="S23" s="8">
        <f t="shared" si="2"/>
        <v>485.5</v>
      </c>
      <c r="T23" s="10">
        <f t="shared" si="3"/>
        <v>80.916666666666671</v>
      </c>
    </row>
    <row r="24" spans="1:20" ht="15.75" customHeight="1" x14ac:dyDescent="0.35">
      <c r="A24" s="11" t="s">
        <v>44</v>
      </c>
      <c r="B24" s="62" t="s">
        <v>85</v>
      </c>
      <c r="C24" s="12">
        <v>76.5</v>
      </c>
      <c r="D24" s="54">
        <v>60</v>
      </c>
      <c r="E24" s="58">
        <v>46</v>
      </c>
      <c r="F24" s="47">
        <f t="shared" si="4"/>
        <v>182.5</v>
      </c>
      <c r="G24" s="42">
        <v>21</v>
      </c>
      <c r="H24" s="13">
        <v>21</v>
      </c>
      <c r="I24" s="13">
        <v>15</v>
      </c>
      <c r="J24" s="13">
        <v>17</v>
      </c>
      <c r="K24" s="14">
        <v>5</v>
      </c>
      <c r="L24" s="15">
        <v>2.5</v>
      </c>
      <c r="M24" s="15">
        <v>3</v>
      </c>
      <c r="N24" s="16">
        <f t="shared" si="0"/>
        <v>84.5</v>
      </c>
      <c r="O24" s="17">
        <v>50</v>
      </c>
      <c r="P24" s="13">
        <v>50</v>
      </c>
      <c r="Q24" s="15">
        <v>40</v>
      </c>
      <c r="R24" s="16">
        <f t="shared" si="1"/>
        <v>140</v>
      </c>
      <c r="S24" s="16">
        <f t="shared" si="2"/>
        <v>407</v>
      </c>
      <c r="T24" s="18">
        <f t="shared" si="3"/>
        <v>67.833333333333329</v>
      </c>
    </row>
    <row r="25" spans="1:20" ht="15.75" customHeight="1" x14ac:dyDescent="0.35">
      <c r="A25" s="20" t="s">
        <v>45</v>
      </c>
      <c r="B25" s="62" t="s">
        <v>86</v>
      </c>
      <c r="C25" s="21">
        <v>52.5</v>
      </c>
      <c r="D25" s="55">
        <v>57</v>
      </c>
      <c r="E25" s="59">
        <v>43.5</v>
      </c>
      <c r="F25" s="46">
        <f t="shared" si="4"/>
        <v>153</v>
      </c>
      <c r="G25" s="43">
        <v>21</v>
      </c>
      <c r="H25" s="22">
        <v>28</v>
      </c>
      <c r="I25" s="22">
        <v>17.5</v>
      </c>
      <c r="J25" s="22">
        <v>14</v>
      </c>
      <c r="K25" s="23">
        <v>5</v>
      </c>
      <c r="L25" s="24">
        <v>2.5</v>
      </c>
      <c r="M25" s="24">
        <v>2.5</v>
      </c>
      <c r="N25" s="8">
        <f t="shared" si="0"/>
        <v>90.5</v>
      </c>
      <c r="O25" s="25">
        <v>50</v>
      </c>
      <c r="P25" s="22">
        <v>25</v>
      </c>
      <c r="Q25" s="24">
        <v>5</v>
      </c>
      <c r="R25" s="8">
        <f t="shared" si="1"/>
        <v>80</v>
      </c>
      <c r="S25" s="8">
        <f t="shared" si="2"/>
        <v>323.5</v>
      </c>
      <c r="T25" s="10">
        <f t="shared" si="3"/>
        <v>53.916666666666671</v>
      </c>
    </row>
    <row r="26" spans="1:20" ht="15.75" customHeight="1" x14ac:dyDescent="0.35">
      <c r="A26" s="11" t="s">
        <v>46</v>
      </c>
      <c r="B26" s="62" t="s">
        <v>87</v>
      </c>
      <c r="C26" s="12">
        <v>60</v>
      </c>
      <c r="D26" s="54">
        <v>67</v>
      </c>
      <c r="E26" s="58">
        <v>44</v>
      </c>
      <c r="F26" s="47">
        <f t="shared" si="4"/>
        <v>171</v>
      </c>
      <c r="G26" s="42">
        <v>23</v>
      </c>
      <c r="H26" s="13">
        <v>28</v>
      </c>
      <c r="I26" s="13">
        <v>17</v>
      </c>
      <c r="J26" s="13">
        <v>9</v>
      </c>
      <c r="K26" s="14">
        <v>5</v>
      </c>
      <c r="L26" s="15">
        <v>2.5</v>
      </c>
      <c r="M26" s="15">
        <v>0</v>
      </c>
      <c r="N26" s="16">
        <f t="shared" si="0"/>
        <v>84.5</v>
      </c>
      <c r="O26" s="17">
        <v>50</v>
      </c>
      <c r="P26" s="13">
        <v>25</v>
      </c>
      <c r="Q26" s="15">
        <v>5</v>
      </c>
      <c r="R26" s="16">
        <f t="shared" si="1"/>
        <v>80</v>
      </c>
      <c r="S26" s="16">
        <f t="shared" si="2"/>
        <v>335.5</v>
      </c>
      <c r="T26" s="18">
        <f t="shared" si="3"/>
        <v>55.916666666666671</v>
      </c>
    </row>
    <row r="27" spans="1:20" ht="15.75" customHeight="1" x14ac:dyDescent="0.35">
      <c r="A27" s="20" t="s">
        <v>47</v>
      </c>
      <c r="B27" s="62" t="s">
        <v>88</v>
      </c>
      <c r="C27" s="21">
        <v>53</v>
      </c>
      <c r="D27" s="55">
        <v>55</v>
      </c>
      <c r="E27" s="59">
        <v>42</v>
      </c>
      <c r="F27" s="46">
        <f t="shared" si="4"/>
        <v>150</v>
      </c>
      <c r="G27" s="43">
        <v>21</v>
      </c>
      <c r="H27" s="22">
        <v>10</v>
      </c>
      <c r="I27" s="22">
        <v>15</v>
      </c>
      <c r="J27" s="22">
        <v>11</v>
      </c>
      <c r="K27" s="23">
        <v>5</v>
      </c>
      <c r="L27" s="24">
        <v>4</v>
      </c>
      <c r="M27" s="24">
        <v>4</v>
      </c>
      <c r="N27" s="8">
        <f t="shared" si="0"/>
        <v>70</v>
      </c>
      <c r="O27" s="25">
        <v>50</v>
      </c>
      <c r="P27" s="22">
        <v>25</v>
      </c>
      <c r="Q27" s="24">
        <v>5</v>
      </c>
      <c r="R27" s="8">
        <f t="shared" si="1"/>
        <v>80</v>
      </c>
      <c r="S27" s="8">
        <f t="shared" si="2"/>
        <v>300</v>
      </c>
      <c r="T27" s="10">
        <f t="shared" si="3"/>
        <v>50</v>
      </c>
    </row>
    <row r="28" spans="1:20" ht="15.75" customHeight="1" x14ac:dyDescent="0.35">
      <c r="A28" s="11" t="s">
        <v>48</v>
      </c>
      <c r="B28" s="62" t="s">
        <v>89</v>
      </c>
      <c r="C28" s="12">
        <v>79.5</v>
      </c>
      <c r="D28" s="54">
        <v>85</v>
      </c>
      <c r="E28" s="58">
        <v>47</v>
      </c>
      <c r="F28" s="47">
        <f t="shared" si="4"/>
        <v>211.5</v>
      </c>
      <c r="G28" s="47">
        <v>36</v>
      </c>
      <c r="H28" s="13">
        <v>31</v>
      </c>
      <c r="I28" s="13">
        <v>16.5</v>
      </c>
      <c r="J28" s="13">
        <v>21</v>
      </c>
      <c r="K28" s="13">
        <v>5</v>
      </c>
      <c r="L28" s="15">
        <v>5</v>
      </c>
      <c r="M28" s="15">
        <v>5</v>
      </c>
      <c r="N28" s="16">
        <f t="shared" si="0"/>
        <v>119.5</v>
      </c>
      <c r="O28" s="17">
        <v>20</v>
      </c>
      <c r="P28" s="13">
        <v>40</v>
      </c>
      <c r="Q28" s="15">
        <v>40</v>
      </c>
      <c r="R28" s="16">
        <f t="shared" si="1"/>
        <v>100</v>
      </c>
      <c r="S28" s="16">
        <f t="shared" si="2"/>
        <v>431</v>
      </c>
      <c r="T28" s="18">
        <f t="shared" si="3"/>
        <v>71.833333333333343</v>
      </c>
    </row>
    <row r="29" spans="1:20" ht="15.75" customHeight="1" x14ac:dyDescent="0.35">
      <c r="A29" s="20" t="s">
        <v>49</v>
      </c>
      <c r="B29" s="62" t="s">
        <v>90</v>
      </c>
      <c r="C29" s="21">
        <v>59</v>
      </c>
      <c r="D29" s="55">
        <v>45</v>
      </c>
      <c r="E29" s="59">
        <v>52.5</v>
      </c>
      <c r="F29" s="46">
        <f t="shared" si="4"/>
        <v>156.5</v>
      </c>
      <c r="G29" s="43">
        <v>20</v>
      </c>
      <c r="H29" s="22">
        <v>12</v>
      </c>
      <c r="I29" s="22">
        <v>18.5</v>
      </c>
      <c r="J29" s="22">
        <v>14</v>
      </c>
      <c r="K29" s="23">
        <v>5</v>
      </c>
      <c r="L29" s="24">
        <v>4</v>
      </c>
      <c r="M29" s="24">
        <v>4</v>
      </c>
      <c r="N29" s="8">
        <f t="shared" si="0"/>
        <v>77.5</v>
      </c>
      <c r="O29" s="25">
        <v>50</v>
      </c>
      <c r="P29" s="22">
        <v>40</v>
      </c>
      <c r="Q29" s="24">
        <v>30</v>
      </c>
      <c r="R29" s="8">
        <f t="shared" si="1"/>
        <v>120</v>
      </c>
      <c r="S29" s="8">
        <f t="shared" si="2"/>
        <v>354</v>
      </c>
      <c r="T29" s="10">
        <f t="shared" si="3"/>
        <v>59</v>
      </c>
    </row>
    <row r="30" spans="1:20" ht="15.6" customHeight="1" x14ac:dyDescent="0.35">
      <c r="A30" s="26" t="s">
        <v>62</v>
      </c>
      <c r="B30" s="62" t="s">
        <v>91</v>
      </c>
      <c r="C30" s="17">
        <v>70</v>
      </c>
      <c r="D30" s="49">
        <v>77</v>
      </c>
      <c r="E30" s="51">
        <v>70.5</v>
      </c>
      <c r="F30" s="47">
        <f t="shared" si="4"/>
        <v>217.5</v>
      </c>
      <c r="G30" s="44">
        <v>23</v>
      </c>
      <c r="H30" s="13">
        <v>26</v>
      </c>
      <c r="I30" s="13">
        <v>21</v>
      </c>
      <c r="J30" s="13">
        <v>20</v>
      </c>
      <c r="K30" s="13">
        <v>5</v>
      </c>
      <c r="L30" s="15">
        <v>3</v>
      </c>
      <c r="M30" s="15">
        <v>4</v>
      </c>
      <c r="N30" s="16">
        <f t="shared" si="0"/>
        <v>102</v>
      </c>
      <c r="O30" s="17">
        <v>50</v>
      </c>
      <c r="P30" s="13">
        <v>40</v>
      </c>
      <c r="Q30" s="15">
        <v>40</v>
      </c>
      <c r="R30" s="16">
        <f t="shared" si="1"/>
        <v>130</v>
      </c>
      <c r="S30" s="16">
        <f t="shared" si="2"/>
        <v>449.5</v>
      </c>
      <c r="T30" s="18">
        <f t="shared" si="3"/>
        <v>74.916666666666671</v>
      </c>
    </row>
    <row r="31" spans="1:20" ht="15.6" customHeight="1" x14ac:dyDescent="0.35">
      <c r="A31" s="27" t="s">
        <v>61</v>
      </c>
      <c r="B31" s="62" t="s">
        <v>92</v>
      </c>
      <c r="C31" s="25">
        <v>28</v>
      </c>
      <c r="D31" s="24"/>
      <c r="E31" s="52"/>
      <c r="F31" s="46">
        <f t="shared" si="4"/>
        <v>28</v>
      </c>
      <c r="G31" s="45">
        <v>20</v>
      </c>
      <c r="H31" s="22">
        <v>0</v>
      </c>
      <c r="I31" s="22">
        <v>0</v>
      </c>
      <c r="J31" s="22">
        <v>0</v>
      </c>
      <c r="K31" s="22">
        <v>5</v>
      </c>
      <c r="L31" s="24">
        <v>0</v>
      </c>
      <c r="M31" s="24">
        <v>0</v>
      </c>
      <c r="N31" s="8">
        <f t="shared" si="0"/>
        <v>25</v>
      </c>
      <c r="O31" s="25">
        <v>20</v>
      </c>
      <c r="P31" s="22">
        <v>5</v>
      </c>
      <c r="Q31" s="24">
        <v>5</v>
      </c>
      <c r="R31" s="8">
        <f t="shared" si="1"/>
        <v>30</v>
      </c>
      <c r="S31" s="8">
        <f t="shared" si="2"/>
        <v>83</v>
      </c>
      <c r="T31" s="10">
        <f t="shared" si="3"/>
        <v>13.833333333333334</v>
      </c>
    </row>
    <row r="32" spans="1:20" ht="15.6" customHeight="1" x14ac:dyDescent="0.35">
      <c r="A32" s="26" t="s">
        <v>63</v>
      </c>
      <c r="B32" s="62" t="s">
        <v>93</v>
      </c>
      <c r="C32" s="17">
        <v>62</v>
      </c>
      <c r="D32" s="49">
        <v>63</v>
      </c>
      <c r="E32" s="51">
        <v>62</v>
      </c>
      <c r="F32" s="47">
        <f t="shared" si="4"/>
        <v>187</v>
      </c>
      <c r="G32" s="44">
        <v>25</v>
      </c>
      <c r="H32" s="13">
        <v>22.5</v>
      </c>
      <c r="I32" s="13">
        <v>20</v>
      </c>
      <c r="J32" s="13">
        <v>21</v>
      </c>
      <c r="K32" s="13">
        <v>0</v>
      </c>
      <c r="L32" s="15">
        <v>5</v>
      </c>
      <c r="M32" s="15">
        <v>5</v>
      </c>
      <c r="N32" s="16">
        <f t="shared" si="0"/>
        <v>98.5</v>
      </c>
      <c r="O32" s="17">
        <v>40</v>
      </c>
      <c r="P32" s="13">
        <v>35</v>
      </c>
      <c r="Q32" s="15">
        <v>20</v>
      </c>
      <c r="R32" s="16">
        <f t="shared" si="1"/>
        <v>95</v>
      </c>
      <c r="S32" s="16">
        <f t="shared" si="2"/>
        <v>380.5</v>
      </c>
      <c r="T32" s="18">
        <f t="shared" si="3"/>
        <v>63.416666666666664</v>
      </c>
    </row>
    <row r="33" spans="1:20" ht="15.75" customHeight="1" thickBot="1" x14ac:dyDescent="0.4">
      <c r="A33" s="27" t="s">
        <v>64</v>
      </c>
      <c r="B33" s="62" t="s">
        <v>94</v>
      </c>
      <c r="C33" s="25">
        <v>51</v>
      </c>
      <c r="D33" s="24">
        <v>63.5</v>
      </c>
      <c r="E33" s="52">
        <v>50</v>
      </c>
      <c r="F33" s="46">
        <f t="shared" si="4"/>
        <v>164.5</v>
      </c>
      <c r="G33" s="45">
        <v>20</v>
      </c>
      <c r="H33" s="22">
        <v>20</v>
      </c>
      <c r="I33" s="22">
        <v>20</v>
      </c>
      <c r="J33" s="22">
        <v>12.5</v>
      </c>
      <c r="K33" s="22">
        <v>0</v>
      </c>
      <c r="L33" s="24">
        <v>0</v>
      </c>
      <c r="M33" s="24">
        <v>0</v>
      </c>
      <c r="N33" s="8">
        <f t="shared" si="0"/>
        <v>72.5</v>
      </c>
      <c r="O33" s="25">
        <v>30</v>
      </c>
      <c r="P33" s="22">
        <v>30</v>
      </c>
      <c r="Q33" s="24">
        <v>5</v>
      </c>
      <c r="R33" s="8">
        <f t="shared" si="1"/>
        <v>65</v>
      </c>
      <c r="S33" s="8">
        <f t="shared" si="2"/>
        <v>302</v>
      </c>
      <c r="T33" s="10">
        <f t="shared" si="3"/>
        <v>50.333333333333329</v>
      </c>
    </row>
    <row r="34" spans="1:20" ht="15.75" customHeight="1" thickBot="1" x14ac:dyDescent="0.4">
      <c r="A34" s="64" t="s">
        <v>96</v>
      </c>
      <c r="B34" s="63" t="s">
        <v>95</v>
      </c>
      <c r="C34" s="25">
        <v>51</v>
      </c>
      <c r="D34" s="24">
        <v>63.5</v>
      </c>
      <c r="E34" s="52">
        <v>50</v>
      </c>
      <c r="F34" s="46">
        <f t="shared" ref="F34" si="5">SUM(C34:E34)</f>
        <v>164.5</v>
      </c>
      <c r="G34" s="45">
        <v>20</v>
      </c>
      <c r="H34" s="22">
        <v>20</v>
      </c>
      <c r="I34" s="22">
        <v>20</v>
      </c>
      <c r="J34" s="22">
        <v>12.5</v>
      </c>
      <c r="K34" s="22">
        <v>0</v>
      </c>
      <c r="L34" s="24">
        <v>0</v>
      </c>
      <c r="M34" s="24">
        <v>0</v>
      </c>
      <c r="N34" s="8">
        <f t="shared" ref="N34" si="6">SUM(G34:M34)</f>
        <v>72.5</v>
      </c>
      <c r="O34" s="25">
        <v>30</v>
      </c>
      <c r="P34" s="22">
        <v>30</v>
      </c>
      <c r="Q34" s="24">
        <v>5</v>
      </c>
      <c r="R34" s="8">
        <f t="shared" ref="R34" si="7">SUM(O34:Q34)</f>
        <v>65</v>
      </c>
      <c r="S34" s="8">
        <f t="shared" ref="S34" si="8">SUM(R34,N34,F34)</f>
        <v>302</v>
      </c>
      <c r="T34" s="10">
        <f t="shared" ref="T34" si="9">S34/600*100</f>
        <v>50.333333333333329</v>
      </c>
    </row>
    <row r="35" spans="1:20" ht="15.75" customHeight="1" x14ac:dyDescent="0.35">
      <c r="A35" s="27"/>
      <c r="B35" s="19"/>
      <c r="C35" s="25"/>
      <c r="D35" s="24"/>
      <c r="E35" s="52"/>
      <c r="F35" s="46">
        <f t="shared" si="4"/>
        <v>0</v>
      </c>
      <c r="G35" s="45"/>
      <c r="H35" s="22"/>
      <c r="I35" s="22"/>
      <c r="J35" s="22"/>
      <c r="K35" s="22"/>
      <c r="L35" s="24"/>
      <c r="M35" s="24"/>
      <c r="N35" s="8">
        <f t="shared" si="0"/>
        <v>0</v>
      </c>
      <c r="O35" s="25"/>
      <c r="P35" s="22"/>
      <c r="Q35" s="24"/>
      <c r="R35" s="8">
        <f t="shared" si="1"/>
        <v>0</v>
      </c>
      <c r="S35" s="8">
        <f t="shared" si="2"/>
        <v>0</v>
      </c>
      <c r="T35" s="10">
        <f t="shared" si="3"/>
        <v>0</v>
      </c>
    </row>
    <row r="36" spans="1:20" ht="15.75" customHeight="1" x14ac:dyDescent="0.35">
      <c r="A36" s="26"/>
      <c r="B36" s="61"/>
      <c r="C36" s="17"/>
      <c r="D36" s="13"/>
      <c r="E36" s="50"/>
      <c r="F36" s="47">
        <f t="shared" si="4"/>
        <v>0</v>
      </c>
      <c r="G36" s="44"/>
      <c r="H36" s="13"/>
      <c r="I36" s="13"/>
      <c r="J36" s="13"/>
      <c r="K36" s="13"/>
      <c r="L36" s="15"/>
      <c r="M36" s="15"/>
      <c r="N36" s="16">
        <f t="shared" si="0"/>
        <v>0</v>
      </c>
      <c r="O36" s="17"/>
      <c r="P36" s="13"/>
      <c r="Q36" s="15"/>
      <c r="R36" s="16">
        <f t="shared" si="1"/>
        <v>0</v>
      </c>
      <c r="S36" s="16">
        <f t="shared" si="2"/>
        <v>0</v>
      </c>
      <c r="T36" s="18">
        <f t="shared" si="3"/>
        <v>0</v>
      </c>
    </row>
    <row r="37" spans="1:20" ht="15.75" customHeight="1" x14ac:dyDescent="0.35">
      <c r="A37" s="27"/>
      <c r="B37" s="19"/>
      <c r="C37" s="25"/>
      <c r="D37" s="22"/>
      <c r="E37" s="24"/>
      <c r="F37" s="46">
        <f t="shared" si="4"/>
        <v>0</v>
      </c>
      <c r="G37" s="45"/>
      <c r="H37" s="22"/>
      <c r="I37" s="22"/>
      <c r="J37" s="22"/>
      <c r="K37" s="22"/>
      <c r="L37" s="24"/>
      <c r="M37" s="24"/>
      <c r="N37" s="8">
        <f t="shared" si="0"/>
        <v>0</v>
      </c>
      <c r="O37" s="25"/>
      <c r="P37" s="22"/>
      <c r="Q37" s="24"/>
      <c r="R37" s="8">
        <f t="shared" si="1"/>
        <v>0</v>
      </c>
      <c r="S37" s="8">
        <f t="shared" si="2"/>
        <v>0</v>
      </c>
      <c r="T37" s="10">
        <f t="shared" si="3"/>
        <v>0</v>
      </c>
    </row>
    <row r="38" spans="1:20" ht="15.75" customHeight="1" x14ac:dyDescent="0.35">
      <c r="A38" s="26"/>
      <c r="B38" s="61"/>
      <c r="C38" s="17"/>
      <c r="D38" s="13"/>
      <c r="E38" s="15"/>
      <c r="F38" s="47">
        <f t="shared" si="4"/>
        <v>0</v>
      </c>
      <c r="G38" s="44"/>
      <c r="H38" s="13"/>
      <c r="I38" s="13"/>
      <c r="J38" s="13"/>
      <c r="K38" s="13"/>
      <c r="L38" s="15"/>
      <c r="M38" s="15"/>
      <c r="N38" s="16">
        <f t="shared" si="0"/>
        <v>0</v>
      </c>
      <c r="O38" s="17"/>
      <c r="P38" s="13"/>
      <c r="Q38" s="15"/>
      <c r="R38" s="16">
        <f t="shared" si="1"/>
        <v>0</v>
      </c>
      <c r="S38" s="16">
        <f t="shared" si="2"/>
        <v>0</v>
      </c>
      <c r="T38" s="18">
        <f t="shared" si="3"/>
        <v>0</v>
      </c>
    </row>
    <row r="39" spans="1:20" ht="15.75" customHeight="1" x14ac:dyDescent="0.35">
      <c r="A39" s="27"/>
      <c r="B39" s="19"/>
      <c r="C39" s="25"/>
      <c r="D39" s="22"/>
      <c r="E39" s="24"/>
      <c r="F39" s="46">
        <f t="shared" si="4"/>
        <v>0</v>
      </c>
      <c r="G39" s="45"/>
      <c r="H39" s="22"/>
      <c r="I39" s="22"/>
      <c r="J39" s="22"/>
      <c r="K39" s="22"/>
      <c r="L39" s="24"/>
      <c r="M39" s="24"/>
      <c r="N39" s="8">
        <f t="shared" si="0"/>
        <v>0</v>
      </c>
      <c r="O39" s="25"/>
      <c r="P39" s="22"/>
      <c r="Q39" s="24"/>
      <c r="R39" s="8">
        <f t="shared" si="1"/>
        <v>0</v>
      </c>
      <c r="S39" s="8">
        <f t="shared" si="2"/>
        <v>0</v>
      </c>
      <c r="T39" s="10">
        <f t="shared" si="3"/>
        <v>0</v>
      </c>
    </row>
    <row r="40" spans="1:20" ht="15.75" customHeight="1" x14ac:dyDescent="0.35">
      <c r="A40" s="26"/>
      <c r="B40" s="61"/>
      <c r="C40" s="17"/>
      <c r="D40" s="13"/>
      <c r="E40" s="15"/>
      <c r="F40" s="47">
        <f t="shared" si="4"/>
        <v>0</v>
      </c>
      <c r="G40" s="44"/>
      <c r="H40" s="13"/>
      <c r="I40" s="13"/>
      <c r="J40" s="13"/>
      <c r="K40" s="13"/>
      <c r="L40" s="15"/>
      <c r="M40" s="15"/>
      <c r="N40" s="16">
        <f t="shared" si="0"/>
        <v>0</v>
      </c>
      <c r="O40" s="17"/>
      <c r="P40" s="13"/>
      <c r="Q40" s="15"/>
      <c r="R40" s="16">
        <f t="shared" si="1"/>
        <v>0</v>
      </c>
      <c r="S40" s="16">
        <f t="shared" si="2"/>
        <v>0</v>
      </c>
      <c r="T40" s="18">
        <f t="shared" si="3"/>
        <v>0</v>
      </c>
    </row>
    <row r="41" spans="1:20" ht="15.75" customHeight="1" x14ac:dyDescent="0.35">
      <c r="A41" s="27"/>
      <c r="B41" s="19"/>
      <c r="C41" s="25"/>
      <c r="D41" s="22"/>
      <c r="E41" s="24"/>
      <c r="F41" s="46">
        <f t="shared" si="4"/>
        <v>0</v>
      </c>
      <c r="G41" s="45"/>
      <c r="H41" s="22"/>
      <c r="I41" s="22"/>
      <c r="J41" s="22"/>
      <c r="K41" s="22"/>
      <c r="L41" s="24"/>
      <c r="M41" s="24"/>
      <c r="N41" s="8">
        <f t="shared" si="0"/>
        <v>0</v>
      </c>
      <c r="O41" s="25"/>
      <c r="P41" s="22"/>
      <c r="Q41" s="24"/>
      <c r="R41" s="8">
        <f t="shared" si="1"/>
        <v>0</v>
      </c>
      <c r="S41" s="8">
        <f t="shared" si="2"/>
        <v>0</v>
      </c>
      <c r="T41" s="10">
        <f t="shared" si="3"/>
        <v>0</v>
      </c>
    </row>
    <row r="42" spans="1:20" ht="15.75" customHeight="1" x14ac:dyDescent="0.35">
      <c r="A42" s="26"/>
      <c r="B42" s="61"/>
      <c r="C42" s="17"/>
      <c r="D42" s="13"/>
      <c r="E42" s="15"/>
      <c r="F42" s="47">
        <f t="shared" si="4"/>
        <v>0</v>
      </c>
      <c r="G42" s="44"/>
      <c r="H42" s="13"/>
      <c r="I42" s="13"/>
      <c r="J42" s="13"/>
      <c r="K42" s="13"/>
      <c r="L42" s="15"/>
      <c r="M42" s="15"/>
      <c r="N42" s="16">
        <f t="shared" si="0"/>
        <v>0</v>
      </c>
      <c r="O42" s="17"/>
      <c r="P42" s="13"/>
      <c r="Q42" s="15"/>
      <c r="R42" s="16">
        <f t="shared" si="1"/>
        <v>0</v>
      </c>
      <c r="S42" s="16">
        <f t="shared" si="2"/>
        <v>0</v>
      </c>
      <c r="T42" s="18">
        <f t="shared" si="3"/>
        <v>0</v>
      </c>
    </row>
    <row r="43" spans="1:20" ht="15.75" customHeight="1" x14ac:dyDescent="0.35">
      <c r="A43" s="27"/>
      <c r="B43" s="19"/>
      <c r="C43" s="25"/>
      <c r="D43" s="22"/>
      <c r="E43" s="24"/>
      <c r="F43" s="46">
        <f t="shared" si="4"/>
        <v>0</v>
      </c>
      <c r="G43" s="45"/>
      <c r="H43" s="22"/>
      <c r="I43" s="22"/>
      <c r="J43" s="22"/>
      <c r="K43" s="22"/>
      <c r="L43" s="24"/>
      <c r="M43" s="24"/>
      <c r="N43" s="8">
        <f t="shared" si="0"/>
        <v>0</v>
      </c>
      <c r="O43" s="25"/>
      <c r="P43" s="22"/>
      <c r="Q43" s="24"/>
      <c r="R43" s="8">
        <f t="shared" si="1"/>
        <v>0</v>
      </c>
      <c r="S43" s="8">
        <f t="shared" si="2"/>
        <v>0</v>
      </c>
      <c r="T43" s="10">
        <f t="shared" si="3"/>
        <v>0</v>
      </c>
    </row>
    <row r="44" spans="1:20" ht="15.75" customHeight="1" x14ac:dyDescent="0.35">
      <c r="A44" s="26"/>
      <c r="B44" s="61"/>
      <c r="C44" s="17"/>
      <c r="D44" s="13"/>
      <c r="E44" s="15"/>
      <c r="F44" s="47">
        <f t="shared" si="4"/>
        <v>0</v>
      </c>
      <c r="G44" s="44"/>
      <c r="H44" s="13"/>
      <c r="I44" s="13"/>
      <c r="J44" s="13"/>
      <c r="K44" s="13"/>
      <c r="L44" s="15"/>
      <c r="M44" s="15"/>
      <c r="N44" s="16">
        <f t="shared" si="0"/>
        <v>0</v>
      </c>
      <c r="O44" s="17"/>
      <c r="P44" s="13"/>
      <c r="Q44" s="15"/>
      <c r="R44" s="16">
        <f t="shared" si="1"/>
        <v>0</v>
      </c>
      <c r="S44" s="16">
        <f t="shared" si="2"/>
        <v>0</v>
      </c>
      <c r="T44" s="18">
        <f t="shared" si="3"/>
        <v>0</v>
      </c>
    </row>
    <row r="45" spans="1:20" ht="15.75" customHeight="1" x14ac:dyDescent="0.35">
      <c r="A45" s="27"/>
      <c r="B45" s="19"/>
      <c r="C45" s="25"/>
      <c r="D45" s="22"/>
      <c r="E45" s="24"/>
      <c r="F45" s="46">
        <f t="shared" si="4"/>
        <v>0</v>
      </c>
      <c r="G45" s="45"/>
      <c r="H45" s="22"/>
      <c r="I45" s="22"/>
      <c r="J45" s="22"/>
      <c r="K45" s="22"/>
      <c r="L45" s="24"/>
      <c r="M45" s="24"/>
      <c r="N45" s="8">
        <f t="shared" si="0"/>
        <v>0</v>
      </c>
      <c r="O45" s="25"/>
      <c r="P45" s="22"/>
      <c r="Q45" s="24"/>
      <c r="R45" s="8">
        <f t="shared" si="1"/>
        <v>0</v>
      </c>
      <c r="S45" s="8">
        <f t="shared" si="2"/>
        <v>0</v>
      </c>
      <c r="T45" s="10">
        <f t="shared" si="3"/>
        <v>0</v>
      </c>
    </row>
    <row r="46" spans="1:20" ht="15.75" customHeight="1" x14ac:dyDescent="0.35">
      <c r="A46" s="26"/>
      <c r="B46" s="61"/>
      <c r="C46" s="17"/>
      <c r="D46" s="13"/>
      <c r="E46" s="15"/>
      <c r="F46" s="47">
        <f t="shared" si="4"/>
        <v>0</v>
      </c>
      <c r="G46" s="44"/>
      <c r="H46" s="13"/>
      <c r="I46" s="13"/>
      <c r="J46" s="13"/>
      <c r="K46" s="13"/>
      <c r="L46" s="15"/>
      <c r="M46" s="15"/>
      <c r="N46" s="16">
        <f t="shared" si="0"/>
        <v>0</v>
      </c>
      <c r="O46" s="17"/>
      <c r="P46" s="13"/>
      <c r="Q46" s="15"/>
      <c r="R46" s="16">
        <f t="shared" si="1"/>
        <v>0</v>
      </c>
      <c r="S46" s="16">
        <f t="shared" si="2"/>
        <v>0</v>
      </c>
      <c r="T46" s="18">
        <f t="shared" si="3"/>
        <v>0</v>
      </c>
    </row>
    <row r="47" spans="1:20" ht="15.75" customHeight="1" x14ac:dyDescent="0.35">
      <c r="A47" s="27"/>
      <c r="B47" s="19"/>
      <c r="C47" s="25"/>
      <c r="D47" s="22"/>
      <c r="E47" s="24"/>
      <c r="F47" s="46">
        <f t="shared" si="4"/>
        <v>0</v>
      </c>
      <c r="G47" s="45"/>
      <c r="H47" s="22"/>
      <c r="I47" s="22"/>
      <c r="J47" s="22"/>
      <c r="K47" s="22"/>
      <c r="L47" s="24"/>
      <c r="M47" s="24"/>
      <c r="N47" s="8">
        <f t="shared" si="0"/>
        <v>0</v>
      </c>
      <c r="O47" s="25"/>
      <c r="P47" s="22"/>
      <c r="Q47" s="24"/>
      <c r="R47" s="8">
        <f t="shared" si="1"/>
        <v>0</v>
      </c>
      <c r="S47" s="8">
        <f t="shared" si="2"/>
        <v>0</v>
      </c>
      <c r="T47" s="10">
        <f t="shared" si="3"/>
        <v>0</v>
      </c>
    </row>
    <row r="48" spans="1:20" ht="15.75" customHeight="1" x14ac:dyDescent="0.35">
      <c r="A48" s="26"/>
      <c r="B48" s="61"/>
      <c r="C48" s="17"/>
      <c r="D48" s="13"/>
      <c r="E48" s="15"/>
      <c r="F48" s="47">
        <f t="shared" si="4"/>
        <v>0</v>
      </c>
      <c r="G48" s="44"/>
      <c r="H48" s="13"/>
      <c r="I48" s="13"/>
      <c r="J48" s="13"/>
      <c r="K48" s="13"/>
      <c r="L48" s="15"/>
      <c r="M48" s="15"/>
      <c r="N48" s="16">
        <f t="shared" si="0"/>
        <v>0</v>
      </c>
      <c r="O48" s="17"/>
      <c r="P48" s="13"/>
      <c r="Q48" s="15"/>
      <c r="R48" s="16">
        <f t="shared" si="1"/>
        <v>0</v>
      </c>
      <c r="S48" s="16">
        <f t="shared" si="2"/>
        <v>0</v>
      </c>
      <c r="T48" s="18">
        <f t="shared" si="3"/>
        <v>0</v>
      </c>
    </row>
    <row r="49" spans="1:20" ht="15.75" customHeight="1" x14ac:dyDescent="0.35">
      <c r="A49" s="27"/>
      <c r="B49" s="19"/>
      <c r="C49" s="25"/>
      <c r="D49" s="22"/>
      <c r="E49" s="24"/>
      <c r="F49" s="46">
        <f t="shared" si="4"/>
        <v>0</v>
      </c>
      <c r="G49" s="45"/>
      <c r="H49" s="22"/>
      <c r="I49" s="22"/>
      <c r="J49" s="22"/>
      <c r="K49" s="22"/>
      <c r="L49" s="24"/>
      <c r="M49" s="24"/>
      <c r="N49" s="8">
        <f t="shared" si="0"/>
        <v>0</v>
      </c>
      <c r="O49" s="25"/>
      <c r="P49" s="22"/>
      <c r="Q49" s="24"/>
      <c r="R49" s="8">
        <f t="shared" si="1"/>
        <v>0</v>
      </c>
      <c r="S49" s="8">
        <f t="shared" si="2"/>
        <v>0</v>
      </c>
      <c r="T49" s="10">
        <f t="shared" si="3"/>
        <v>0</v>
      </c>
    </row>
    <row r="50" spans="1:20" ht="15.75" customHeight="1" x14ac:dyDescent="0.35">
      <c r="A50" s="26"/>
      <c r="B50" s="61"/>
      <c r="C50" s="17"/>
      <c r="D50" s="13"/>
      <c r="E50" s="15"/>
      <c r="F50" s="47">
        <f t="shared" si="4"/>
        <v>0</v>
      </c>
      <c r="G50" s="44"/>
      <c r="H50" s="13"/>
      <c r="I50" s="13"/>
      <c r="J50" s="13"/>
      <c r="K50" s="13"/>
      <c r="L50" s="15"/>
      <c r="M50" s="15"/>
      <c r="N50" s="16">
        <f t="shared" si="0"/>
        <v>0</v>
      </c>
      <c r="O50" s="17"/>
      <c r="P50" s="13"/>
      <c r="Q50" s="15"/>
      <c r="R50" s="16">
        <f t="shared" si="1"/>
        <v>0</v>
      </c>
      <c r="S50" s="16">
        <f t="shared" si="2"/>
        <v>0</v>
      </c>
      <c r="T50" s="18">
        <f t="shared" si="3"/>
        <v>0</v>
      </c>
    </row>
    <row r="51" spans="1:20" ht="15.75" customHeight="1" x14ac:dyDescent="0.35">
      <c r="A51" s="27"/>
      <c r="B51" s="19"/>
      <c r="C51" s="25"/>
      <c r="D51" s="22"/>
      <c r="E51" s="24"/>
      <c r="F51" s="46">
        <f t="shared" si="4"/>
        <v>0</v>
      </c>
      <c r="G51" s="45"/>
      <c r="H51" s="22"/>
      <c r="I51" s="22"/>
      <c r="J51" s="22"/>
      <c r="K51" s="22"/>
      <c r="L51" s="24"/>
      <c r="M51" s="24"/>
      <c r="N51" s="8">
        <f t="shared" si="0"/>
        <v>0</v>
      </c>
      <c r="O51" s="25"/>
      <c r="P51" s="22"/>
      <c r="Q51" s="24"/>
      <c r="R51" s="8">
        <f t="shared" si="1"/>
        <v>0</v>
      </c>
      <c r="S51" s="8">
        <f t="shared" si="2"/>
        <v>0</v>
      </c>
      <c r="T51" s="10">
        <f t="shared" si="3"/>
        <v>0</v>
      </c>
    </row>
    <row r="52" spans="1:20" ht="15.75" customHeight="1" x14ac:dyDescent="0.35">
      <c r="A52" s="26"/>
      <c r="B52" s="61"/>
      <c r="C52" s="17"/>
      <c r="D52" s="13"/>
      <c r="E52" s="15"/>
      <c r="F52" s="47">
        <f t="shared" si="4"/>
        <v>0</v>
      </c>
      <c r="G52" s="44"/>
      <c r="H52" s="13"/>
      <c r="I52" s="13"/>
      <c r="J52" s="13"/>
      <c r="K52" s="13"/>
      <c r="L52" s="15"/>
      <c r="M52" s="15"/>
      <c r="N52" s="16">
        <f t="shared" si="0"/>
        <v>0</v>
      </c>
      <c r="O52" s="17"/>
      <c r="P52" s="13"/>
      <c r="Q52" s="15"/>
      <c r="R52" s="16">
        <f t="shared" si="1"/>
        <v>0</v>
      </c>
      <c r="S52" s="16">
        <f t="shared" si="2"/>
        <v>0</v>
      </c>
      <c r="T52" s="18">
        <f t="shared" si="3"/>
        <v>0</v>
      </c>
    </row>
    <row r="53" spans="1:20" ht="15.75" customHeight="1" x14ac:dyDescent="0.35">
      <c r="A53" s="27"/>
      <c r="B53" s="19"/>
      <c r="C53" s="25"/>
      <c r="D53" s="22"/>
      <c r="E53" s="24"/>
      <c r="F53" s="46">
        <f t="shared" si="4"/>
        <v>0</v>
      </c>
      <c r="G53" s="45"/>
      <c r="H53" s="22"/>
      <c r="I53" s="22"/>
      <c r="J53" s="22"/>
      <c r="K53" s="22"/>
      <c r="L53" s="24"/>
      <c r="M53" s="24"/>
      <c r="N53" s="8">
        <f t="shared" si="0"/>
        <v>0</v>
      </c>
      <c r="O53" s="25"/>
      <c r="P53" s="22"/>
      <c r="Q53" s="24"/>
      <c r="R53" s="8">
        <f t="shared" si="1"/>
        <v>0</v>
      </c>
      <c r="S53" s="8">
        <f t="shared" si="2"/>
        <v>0</v>
      </c>
      <c r="T53" s="10">
        <f t="shared" si="3"/>
        <v>0</v>
      </c>
    </row>
    <row r="54" spans="1:20" ht="15.75" customHeight="1" x14ac:dyDescent="0.35">
      <c r="A54" s="26"/>
      <c r="B54" s="61"/>
      <c r="C54" s="17"/>
      <c r="D54" s="13"/>
      <c r="E54" s="15"/>
      <c r="F54" s="47">
        <f t="shared" si="4"/>
        <v>0</v>
      </c>
      <c r="G54" s="44"/>
      <c r="H54" s="13"/>
      <c r="I54" s="13"/>
      <c r="J54" s="13"/>
      <c r="K54" s="13"/>
      <c r="L54" s="15"/>
      <c r="M54" s="15"/>
      <c r="N54" s="16">
        <f t="shared" si="0"/>
        <v>0</v>
      </c>
      <c r="O54" s="17"/>
      <c r="P54" s="13"/>
      <c r="Q54" s="15"/>
      <c r="R54" s="16">
        <f t="shared" si="1"/>
        <v>0</v>
      </c>
      <c r="S54" s="16">
        <f t="shared" si="2"/>
        <v>0</v>
      </c>
      <c r="T54" s="18">
        <f t="shared" si="3"/>
        <v>0</v>
      </c>
    </row>
    <row r="55" spans="1:20" ht="15.75" customHeight="1" x14ac:dyDescent="0.35">
      <c r="A55" s="27"/>
      <c r="B55" s="19"/>
      <c r="C55" s="25"/>
      <c r="D55" s="22"/>
      <c r="E55" s="24"/>
      <c r="F55" s="46">
        <f t="shared" si="4"/>
        <v>0</v>
      </c>
      <c r="G55" s="45"/>
      <c r="H55" s="22"/>
      <c r="I55" s="22"/>
      <c r="J55" s="22"/>
      <c r="K55" s="22"/>
      <c r="L55" s="24"/>
      <c r="M55" s="24"/>
      <c r="N55" s="8">
        <f t="shared" si="0"/>
        <v>0</v>
      </c>
      <c r="O55" s="25"/>
      <c r="P55" s="22"/>
      <c r="Q55" s="24"/>
      <c r="R55" s="8">
        <f t="shared" si="1"/>
        <v>0</v>
      </c>
      <c r="S55" s="8">
        <f t="shared" si="2"/>
        <v>0</v>
      </c>
      <c r="T55" s="10">
        <f t="shared" si="3"/>
        <v>0</v>
      </c>
    </row>
    <row r="56" spans="1:20" ht="15.75" customHeight="1" x14ac:dyDescent="0.35">
      <c r="A56" s="26"/>
      <c r="B56" s="61"/>
      <c r="C56" s="17"/>
      <c r="D56" s="13"/>
      <c r="E56" s="15"/>
      <c r="F56" s="47">
        <f t="shared" si="4"/>
        <v>0</v>
      </c>
      <c r="G56" s="44"/>
      <c r="H56" s="13"/>
      <c r="I56" s="13"/>
      <c r="J56" s="13"/>
      <c r="K56" s="13"/>
      <c r="L56" s="15"/>
      <c r="M56" s="15"/>
      <c r="N56" s="16">
        <f t="shared" si="0"/>
        <v>0</v>
      </c>
      <c r="O56" s="17"/>
      <c r="P56" s="13"/>
      <c r="Q56" s="15"/>
      <c r="R56" s="16">
        <f t="shared" si="1"/>
        <v>0</v>
      </c>
      <c r="S56" s="16">
        <f t="shared" si="2"/>
        <v>0</v>
      </c>
      <c r="T56" s="18">
        <f t="shared" si="3"/>
        <v>0</v>
      </c>
    </row>
    <row r="57" spans="1:20" ht="15.75" customHeight="1" x14ac:dyDescent="0.35">
      <c r="A57" s="27"/>
      <c r="B57" s="19"/>
      <c r="C57" s="25"/>
      <c r="D57" s="22"/>
      <c r="E57" s="24"/>
      <c r="F57" s="46">
        <f t="shared" si="4"/>
        <v>0</v>
      </c>
      <c r="G57" s="45"/>
      <c r="H57" s="22"/>
      <c r="I57" s="22"/>
      <c r="J57" s="22"/>
      <c r="K57" s="22"/>
      <c r="L57" s="24"/>
      <c r="M57" s="24"/>
      <c r="N57" s="8">
        <f t="shared" si="0"/>
        <v>0</v>
      </c>
      <c r="O57" s="25"/>
      <c r="P57" s="22"/>
      <c r="Q57" s="24"/>
      <c r="R57" s="8">
        <f t="shared" si="1"/>
        <v>0</v>
      </c>
      <c r="S57" s="8">
        <f t="shared" si="2"/>
        <v>0</v>
      </c>
      <c r="T57" s="10">
        <f t="shared" si="3"/>
        <v>0</v>
      </c>
    </row>
    <row r="58" spans="1:20" ht="15.75" customHeight="1" x14ac:dyDescent="0.35">
      <c r="A58" s="26"/>
      <c r="B58" s="61"/>
      <c r="C58" s="17"/>
      <c r="D58" s="13"/>
      <c r="E58" s="15"/>
      <c r="F58" s="47">
        <f t="shared" si="4"/>
        <v>0</v>
      </c>
      <c r="G58" s="44"/>
      <c r="H58" s="13"/>
      <c r="I58" s="13"/>
      <c r="J58" s="13"/>
      <c r="K58" s="13"/>
      <c r="L58" s="15"/>
      <c r="M58" s="15"/>
      <c r="N58" s="16">
        <f t="shared" si="0"/>
        <v>0</v>
      </c>
      <c r="O58" s="17"/>
      <c r="P58" s="13"/>
      <c r="Q58" s="15"/>
      <c r="R58" s="16">
        <f t="shared" si="1"/>
        <v>0</v>
      </c>
      <c r="S58" s="16">
        <f t="shared" si="2"/>
        <v>0</v>
      </c>
      <c r="T58" s="18">
        <f t="shared" si="3"/>
        <v>0</v>
      </c>
    </row>
    <row r="59" spans="1:20" ht="15.75" customHeight="1" x14ac:dyDescent="0.35">
      <c r="A59" s="27"/>
      <c r="B59" s="19"/>
      <c r="C59" s="25"/>
      <c r="D59" s="22"/>
      <c r="E59" s="24"/>
      <c r="F59" s="46">
        <f t="shared" si="4"/>
        <v>0</v>
      </c>
      <c r="G59" s="45"/>
      <c r="H59" s="22"/>
      <c r="I59" s="22"/>
      <c r="J59" s="22"/>
      <c r="K59" s="22"/>
      <c r="L59" s="24"/>
      <c r="M59" s="24"/>
      <c r="N59" s="8">
        <f t="shared" si="0"/>
        <v>0</v>
      </c>
      <c r="O59" s="25"/>
      <c r="P59" s="22"/>
      <c r="Q59" s="24"/>
      <c r="R59" s="8">
        <f t="shared" si="1"/>
        <v>0</v>
      </c>
      <c r="S59" s="8">
        <f t="shared" si="2"/>
        <v>0</v>
      </c>
      <c r="T59" s="10">
        <f t="shared" si="3"/>
        <v>0</v>
      </c>
    </row>
    <row r="60" spans="1:20" ht="15.75" customHeight="1" x14ac:dyDescent="0.35">
      <c r="A60" s="26"/>
      <c r="B60" s="61"/>
      <c r="C60" s="17"/>
      <c r="D60" s="13"/>
      <c r="E60" s="15"/>
      <c r="F60" s="47">
        <f t="shared" si="4"/>
        <v>0</v>
      </c>
      <c r="G60" s="44"/>
      <c r="H60" s="13"/>
      <c r="I60" s="13"/>
      <c r="J60" s="13"/>
      <c r="K60" s="13"/>
      <c r="L60" s="15"/>
      <c r="M60" s="15"/>
      <c r="N60" s="16">
        <f t="shared" si="0"/>
        <v>0</v>
      </c>
      <c r="O60" s="17"/>
      <c r="P60" s="13"/>
      <c r="Q60" s="15"/>
      <c r="R60" s="16">
        <f t="shared" si="1"/>
        <v>0</v>
      </c>
      <c r="S60" s="16">
        <f t="shared" si="2"/>
        <v>0</v>
      </c>
      <c r="T60" s="18">
        <f t="shared" si="3"/>
        <v>0</v>
      </c>
    </row>
    <row r="61" spans="1:20" ht="15.75" customHeight="1" x14ac:dyDescent="0.35">
      <c r="A61" s="27"/>
      <c r="B61" s="19"/>
      <c r="C61" s="25"/>
      <c r="D61" s="22"/>
      <c r="E61" s="24"/>
      <c r="F61" s="46">
        <f t="shared" si="4"/>
        <v>0</v>
      </c>
      <c r="G61" s="45"/>
      <c r="H61" s="22"/>
      <c r="I61" s="22"/>
      <c r="J61" s="22"/>
      <c r="K61" s="22"/>
      <c r="L61" s="24"/>
      <c r="M61" s="24"/>
      <c r="N61" s="8">
        <f t="shared" si="0"/>
        <v>0</v>
      </c>
      <c r="O61" s="25"/>
      <c r="P61" s="22"/>
      <c r="Q61" s="24"/>
      <c r="R61" s="8">
        <f t="shared" si="1"/>
        <v>0</v>
      </c>
      <c r="S61" s="8">
        <f t="shared" si="2"/>
        <v>0</v>
      </c>
      <c r="T61" s="10">
        <f t="shared" si="3"/>
        <v>0</v>
      </c>
    </row>
    <row r="62" spans="1:20" ht="15.75" customHeight="1" x14ac:dyDescent="0.35">
      <c r="A62" s="26"/>
      <c r="B62" s="61"/>
      <c r="C62" s="17"/>
      <c r="D62" s="13"/>
      <c r="E62" s="15"/>
      <c r="F62" s="47">
        <f t="shared" si="4"/>
        <v>0</v>
      </c>
      <c r="G62" s="44"/>
      <c r="H62" s="13"/>
      <c r="I62" s="13"/>
      <c r="J62" s="13"/>
      <c r="K62" s="13"/>
      <c r="L62" s="15"/>
      <c r="M62" s="15"/>
      <c r="N62" s="16">
        <f t="shared" si="0"/>
        <v>0</v>
      </c>
      <c r="O62" s="17"/>
      <c r="P62" s="13"/>
      <c r="Q62" s="15"/>
      <c r="R62" s="16">
        <f t="shared" si="1"/>
        <v>0</v>
      </c>
      <c r="S62" s="16">
        <f t="shared" si="2"/>
        <v>0</v>
      </c>
      <c r="T62" s="18">
        <f t="shared" si="3"/>
        <v>0</v>
      </c>
    </row>
    <row r="63" spans="1:20" ht="15.75" customHeight="1" x14ac:dyDescent="0.35">
      <c r="A63" s="27"/>
      <c r="B63" s="19"/>
      <c r="C63" s="25"/>
      <c r="D63" s="22"/>
      <c r="E63" s="24"/>
      <c r="F63" s="46">
        <f t="shared" si="4"/>
        <v>0</v>
      </c>
      <c r="G63" s="45"/>
      <c r="H63" s="22"/>
      <c r="I63" s="22"/>
      <c r="J63" s="22"/>
      <c r="K63" s="22"/>
      <c r="L63" s="24"/>
      <c r="M63" s="24"/>
      <c r="N63" s="8">
        <f t="shared" si="0"/>
        <v>0</v>
      </c>
      <c r="O63" s="25"/>
      <c r="P63" s="22"/>
      <c r="Q63" s="24"/>
      <c r="R63" s="8">
        <f t="shared" si="1"/>
        <v>0</v>
      </c>
      <c r="S63" s="8">
        <f t="shared" si="2"/>
        <v>0</v>
      </c>
      <c r="T63" s="10">
        <f t="shared" si="3"/>
        <v>0</v>
      </c>
    </row>
    <row r="64" spans="1:20" ht="15.75" customHeight="1" x14ac:dyDescent="0.35">
      <c r="A64" s="26"/>
      <c r="B64" s="61"/>
      <c r="C64" s="17"/>
      <c r="D64" s="13"/>
      <c r="E64" s="15"/>
      <c r="F64" s="47">
        <f t="shared" si="4"/>
        <v>0</v>
      </c>
      <c r="G64" s="44"/>
      <c r="H64" s="13"/>
      <c r="I64" s="13"/>
      <c r="J64" s="13"/>
      <c r="K64" s="13"/>
      <c r="L64" s="15"/>
      <c r="M64" s="15"/>
      <c r="N64" s="16">
        <f t="shared" si="0"/>
        <v>0</v>
      </c>
      <c r="O64" s="17"/>
      <c r="P64" s="13"/>
      <c r="Q64" s="15"/>
      <c r="R64" s="16">
        <f t="shared" si="1"/>
        <v>0</v>
      </c>
      <c r="S64" s="16">
        <f t="shared" si="2"/>
        <v>0</v>
      </c>
      <c r="T64" s="18">
        <f t="shared" si="3"/>
        <v>0</v>
      </c>
    </row>
    <row r="65" spans="1:20" ht="15.75" customHeight="1" x14ac:dyDescent="0.35">
      <c r="A65" s="27"/>
      <c r="B65" s="19"/>
      <c r="C65" s="25"/>
      <c r="D65" s="22"/>
      <c r="E65" s="24"/>
      <c r="F65" s="46">
        <f t="shared" si="4"/>
        <v>0</v>
      </c>
      <c r="G65" s="45"/>
      <c r="H65" s="22"/>
      <c r="I65" s="22"/>
      <c r="J65" s="22"/>
      <c r="K65" s="22"/>
      <c r="L65" s="24"/>
      <c r="M65" s="24"/>
      <c r="N65" s="8">
        <f t="shared" si="0"/>
        <v>0</v>
      </c>
      <c r="O65" s="25"/>
      <c r="P65" s="22"/>
      <c r="Q65" s="24"/>
      <c r="R65" s="8">
        <f t="shared" si="1"/>
        <v>0</v>
      </c>
      <c r="S65" s="8">
        <f t="shared" si="2"/>
        <v>0</v>
      </c>
      <c r="T65" s="10">
        <f t="shared" si="3"/>
        <v>0</v>
      </c>
    </row>
    <row r="66" spans="1:20" ht="15.75" customHeight="1" x14ac:dyDescent="0.35">
      <c r="A66" s="26"/>
      <c r="B66" s="61"/>
      <c r="C66" s="17"/>
      <c r="D66" s="13"/>
      <c r="E66" s="15"/>
      <c r="F66" s="47">
        <f t="shared" si="4"/>
        <v>0</v>
      </c>
      <c r="G66" s="44"/>
      <c r="H66" s="13"/>
      <c r="I66" s="13"/>
      <c r="J66" s="13"/>
      <c r="K66" s="13"/>
      <c r="L66" s="15"/>
      <c r="M66" s="15"/>
      <c r="N66" s="16">
        <f t="shared" si="0"/>
        <v>0</v>
      </c>
      <c r="O66" s="17"/>
      <c r="P66" s="13"/>
      <c r="Q66" s="15"/>
      <c r="R66" s="16">
        <f t="shared" si="1"/>
        <v>0</v>
      </c>
      <c r="S66" s="16">
        <f t="shared" si="2"/>
        <v>0</v>
      </c>
      <c r="T66" s="18">
        <f t="shared" si="3"/>
        <v>0</v>
      </c>
    </row>
    <row r="67" spans="1:20" ht="15.75" customHeight="1" x14ac:dyDescent="0.35">
      <c r="A67" s="27"/>
      <c r="B67" s="19"/>
      <c r="C67" s="25"/>
      <c r="D67" s="22"/>
      <c r="E67" s="24"/>
      <c r="F67" s="46">
        <f t="shared" si="4"/>
        <v>0</v>
      </c>
      <c r="G67" s="45"/>
      <c r="H67" s="22"/>
      <c r="I67" s="22"/>
      <c r="J67" s="22"/>
      <c r="K67" s="22"/>
      <c r="L67" s="24"/>
      <c r="M67" s="24"/>
      <c r="N67" s="8">
        <f t="shared" si="0"/>
        <v>0</v>
      </c>
      <c r="O67" s="25"/>
      <c r="P67" s="22"/>
      <c r="Q67" s="24"/>
      <c r="R67" s="8">
        <f t="shared" si="1"/>
        <v>0</v>
      </c>
      <c r="S67" s="8">
        <f t="shared" si="2"/>
        <v>0</v>
      </c>
      <c r="T67" s="10">
        <f t="shared" si="3"/>
        <v>0</v>
      </c>
    </row>
    <row r="68" spans="1:20" ht="15.75" customHeight="1" x14ac:dyDescent="0.35">
      <c r="A68" s="26"/>
      <c r="B68" s="61"/>
      <c r="C68" s="17"/>
      <c r="D68" s="13"/>
      <c r="E68" s="15"/>
      <c r="F68" s="47">
        <f t="shared" si="4"/>
        <v>0</v>
      </c>
      <c r="G68" s="44"/>
      <c r="H68" s="13"/>
      <c r="I68" s="13"/>
      <c r="J68" s="13"/>
      <c r="K68" s="13"/>
      <c r="L68" s="15"/>
      <c r="M68" s="15"/>
      <c r="N68" s="16">
        <f t="shared" si="0"/>
        <v>0</v>
      </c>
      <c r="O68" s="17"/>
      <c r="P68" s="13"/>
      <c r="Q68" s="15"/>
      <c r="R68" s="16">
        <f t="shared" si="1"/>
        <v>0</v>
      </c>
      <c r="S68" s="16">
        <f t="shared" si="2"/>
        <v>0</v>
      </c>
      <c r="T68" s="18">
        <f t="shared" si="3"/>
        <v>0</v>
      </c>
    </row>
    <row r="69" spans="1:20" ht="15.75" customHeight="1" x14ac:dyDescent="0.35">
      <c r="A69" s="27"/>
      <c r="B69" s="19"/>
      <c r="C69" s="25"/>
      <c r="D69" s="22"/>
      <c r="E69" s="24"/>
      <c r="F69" s="46">
        <f t="shared" si="4"/>
        <v>0</v>
      </c>
      <c r="G69" s="45"/>
      <c r="H69" s="22"/>
      <c r="I69" s="22"/>
      <c r="J69" s="22"/>
      <c r="K69" s="22"/>
      <c r="L69" s="24"/>
      <c r="M69" s="24"/>
      <c r="N69" s="8">
        <f t="shared" si="0"/>
        <v>0</v>
      </c>
      <c r="O69" s="25"/>
      <c r="P69" s="22"/>
      <c r="Q69" s="24"/>
      <c r="R69" s="8">
        <f t="shared" si="1"/>
        <v>0</v>
      </c>
      <c r="S69" s="8">
        <f t="shared" si="2"/>
        <v>0</v>
      </c>
      <c r="T69" s="10">
        <f t="shared" si="3"/>
        <v>0</v>
      </c>
    </row>
    <row r="70" spans="1:20" ht="15.75" customHeight="1" x14ac:dyDescent="0.35">
      <c r="A70" s="26"/>
      <c r="B70" s="61"/>
      <c r="C70" s="17"/>
      <c r="D70" s="13"/>
      <c r="E70" s="15"/>
      <c r="F70" s="47">
        <f t="shared" ref="F70:F133" si="10">SUM(C70:E70)</f>
        <v>0</v>
      </c>
      <c r="G70" s="44"/>
      <c r="H70" s="13"/>
      <c r="I70" s="13"/>
      <c r="J70" s="13"/>
      <c r="K70" s="13"/>
      <c r="L70" s="15"/>
      <c r="M70" s="15"/>
      <c r="N70" s="16">
        <f t="shared" si="0"/>
        <v>0</v>
      </c>
      <c r="O70" s="17"/>
      <c r="P70" s="13"/>
      <c r="Q70" s="15"/>
      <c r="R70" s="16">
        <f t="shared" si="1"/>
        <v>0</v>
      </c>
      <c r="S70" s="16">
        <f t="shared" si="2"/>
        <v>0</v>
      </c>
      <c r="T70" s="18">
        <f t="shared" si="3"/>
        <v>0</v>
      </c>
    </row>
    <row r="71" spans="1:20" ht="15.75" customHeight="1" x14ac:dyDescent="0.35">
      <c r="A71" s="27"/>
      <c r="B71" s="19"/>
      <c r="C71" s="25"/>
      <c r="D71" s="22"/>
      <c r="E71" s="24"/>
      <c r="F71" s="46">
        <f t="shared" si="10"/>
        <v>0</v>
      </c>
      <c r="G71" s="45"/>
      <c r="H71" s="22"/>
      <c r="I71" s="22"/>
      <c r="J71" s="22"/>
      <c r="K71" s="22"/>
      <c r="L71" s="24"/>
      <c r="M71" s="24"/>
      <c r="N71" s="8">
        <f t="shared" si="0"/>
        <v>0</v>
      </c>
      <c r="O71" s="25"/>
      <c r="P71" s="22"/>
      <c r="Q71" s="24"/>
      <c r="R71" s="8">
        <f t="shared" si="1"/>
        <v>0</v>
      </c>
      <c r="S71" s="8">
        <f t="shared" si="2"/>
        <v>0</v>
      </c>
      <c r="T71" s="10">
        <f t="shared" si="3"/>
        <v>0</v>
      </c>
    </row>
    <row r="72" spans="1:20" ht="15.75" customHeight="1" x14ac:dyDescent="0.35">
      <c r="A72" s="26"/>
      <c r="B72" s="61"/>
      <c r="C72" s="17"/>
      <c r="D72" s="13"/>
      <c r="E72" s="15"/>
      <c r="F72" s="47">
        <f t="shared" si="10"/>
        <v>0</v>
      </c>
      <c r="G72" s="44"/>
      <c r="H72" s="13"/>
      <c r="I72" s="13"/>
      <c r="J72" s="13"/>
      <c r="K72" s="13"/>
      <c r="L72" s="15"/>
      <c r="M72" s="15"/>
      <c r="N72" s="16">
        <f t="shared" si="0"/>
        <v>0</v>
      </c>
      <c r="O72" s="17"/>
      <c r="P72" s="13"/>
      <c r="Q72" s="15"/>
      <c r="R72" s="16">
        <f t="shared" si="1"/>
        <v>0</v>
      </c>
      <c r="S72" s="16">
        <f t="shared" si="2"/>
        <v>0</v>
      </c>
      <c r="T72" s="18">
        <f t="shared" si="3"/>
        <v>0</v>
      </c>
    </row>
    <row r="73" spans="1:20" ht="15.75" customHeight="1" x14ac:dyDescent="0.35">
      <c r="A73" s="27"/>
      <c r="B73" s="19"/>
      <c r="C73" s="25"/>
      <c r="D73" s="22"/>
      <c r="E73" s="24"/>
      <c r="F73" s="46">
        <f t="shared" si="10"/>
        <v>0</v>
      </c>
      <c r="G73" s="45"/>
      <c r="H73" s="22"/>
      <c r="I73" s="22"/>
      <c r="J73" s="22"/>
      <c r="K73" s="22"/>
      <c r="L73" s="24"/>
      <c r="M73" s="24"/>
      <c r="N73" s="8">
        <f t="shared" si="0"/>
        <v>0</v>
      </c>
      <c r="O73" s="25"/>
      <c r="P73" s="22"/>
      <c r="Q73" s="24"/>
      <c r="R73" s="8">
        <f t="shared" si="1"/>
        <v>0</v>
      </c>
      <c r="S73" s="8">
        <f t="shared" si="2"/>
        <v>0</v>
      </c>
      <c r="T73" s="10">
        <f t="shared" si="3"/>
        <v>0</v>
      </c>
    </row>
    <row r="74" spans="1:20" ht="15.75" customHeight="1" x14ac:dyDescent="0.35">
      <c r="A74" s="26"/>
      <c r="B74" s="61"/>
      <c r="C74" s="17"/>
      <c r="D74" s="13"/>
      <c r="E74" s="15"/>
      <c r="F74" s="47">
        <f t="shared" si="10"/>
        <v>0</v>
      </c>
      <c r="G74" s="44"/>
      <c r="H74" s="13"/>
      <c r="I74" s="13"/>
      <c r="J74" s="13"/>
      <c r="K74" s="13"/>
      <c r="L74" s="15"/>
      <c r="M74" s="15"/>
      <c r="N74" s="16">
        <f t="shared" si="0"/>
        <v>0</v>
      </c>
      <c r="O74" s="17"/>
      <c r="P74" s="13"/>
      <c r="Q74" s="15"/>
      <c r="R74" s="16">
        <f t="shared" si="1"/>
        <v>0</v>
      </c>
      <c r="S74" s="16">
        <f t="shared" si="2"/>
        <v>0</v>
      </c>
      <c r="T74" s="18">
        <f t="shared" si="3"/>
        <v>0</v>
      </c>
    </row>
    <row r="75" spans="1:20" ht="15.75" customHeight="1" x14ac:dyDescent="0.35">
      <c r="A75" s="27"/>
      <c r="B75" s="19"/>
      <c r="C75" s="25"/>
      <c r="D75" s="22"/>
      <c r="E75" s="24"/>
      <c r="F75" s="46">
        <f t="shared" si="10"/>
        <v>0</v>
      </c>
      <c r="G75" s="45"/>
      <c r="H75" s="22"/>
      <c r="I75" s="22"/>
      <c r="J75" s="22"/>
      <c r="K75" s="22"/>
      <c r="L75" s="24"/>
      <c r="M75" s="24"/>
      <c r="N75" s="8">
        <f t="shared" si="0"/>
        <v>0</v>
      </c>
      <c r="O75" s="25"/>
      <c r="P75" s="22"/>
      <c r="Q75" s="24"/>
      <c r="R75" s="8">
        <f t="shared" si="1"/>
        <v>0</v>
      </c>
      <c r="S75" s="8">
        <f t="shared" si="2"/>
        <v>0</v>
      </c>
      <c r="T75" s="10">
        <f t="shared" si="3"/>
        <v>0</v>
      </c>
    </row>
    <row r="76" spans="1:20" ht="15.75" customHeight="1" x14ac:dyDescent="0.35">
      <c r="A76" s="26"/>
      <c r="B76" s="61"/>
      <c r="C76" s="17"/>
      <c r="D76" s="13"/>
      <c r="E76" s="15"/>
      <c r="F76" s="47">
        <f t="shared" si="10"/>
        <v>0</v>
      </c>
      <c r="G76" s="44"/>
      <c r="H76" s="13"/>
      <c r="I76" s="13"/>
      <c r="J76" s="13"/>
      <c r="K76" s="13"/>
      <c r="L76" s="15"/>
      <c r="M76" s="15"/>
      <c r="N76" s="16">
        <f t="shared" si="0"/>
        <v>0</v>
      </c>
      <c r="O76" s="17"/>
      <c r="P76" s="13"/>
      <c r="Q76" s="15"/>
      <c r="R76" s="16">
        <f t="shared" si="1"/>
        <v>0</v>
      </c>
      <c r="S76" s="16">
        <f t="shared" si="2"/>
        <v>0</v>
      </c>
      <c r="T76" s="18">
        <f t="shared" si="3"/>
        <v>0</v>
      </c>
    </row>
    <row r="77" spans="1:20" ht="15.75" customHeight="1" x14ac:dyDescent="0.35">
      <c r="A77" s="27"/>
      <c r="B77" s="19"/>
      <c r="C77" s="25"/>
      <c r="D77" s="22"/>
      <c r="E77" s="24"/>
      <c r="F77" s="46">
        <f t="shared" si="10"/>
        <v>0</v>
      </c>
      <c r="G77" s="45"/>
      <c r="H77" s="22"/>
      <c r="I77" s="22"/>
      <c r="J77" s="22"/>
      <c r="K77" s="22"/>
      <c r="L77" s="24"/>
      <c r="M77" s="24"/>
      <c r="N77" s="8">
        <f t="shared" si="0"/>
        <v>0</v>
      </c>
      <c r="O77" s="25"/>
      <c r="P77" s="22"/>
      <c r="Q77" s="24"/>
      <c r="R77" s="8">
        <f t="shared" si="1"/>
        <v>0</v>
      </c>
      <c r="S77" s="8">
        <f t="shared" si="2"/>
        <v>0</v>
      </c>
      <c r="T77" s="10">
        <f t="shared" si="3"/>
        <v>0</v>
      </c>
    </row>
    <row r="78" spans="1:20" ht="15.75" customHeight="1" x14ac:dyDescent="0.35">
      <c r="A78" s="26"/>
      <c r="B78" s="61"/>
      <c r="C78" s="17"/>
      <c r="D78" s="13"/>
      <c r="E78" s="15"/>
      <c r="F78" s="47">
        <f t="shared" si="10"/>
        <v>0</v>
      </c>
      <c r="G78" s="44"/>
      <c r="H78" s="13"/>
      <c r="I78" s="13"/>
      <c r="J78" s="13"/>
      <c r="K78" s="13"/>
      <c r="L78" s="15"/>
      <c r="M78" s="15"/>
      <c r="N78" s="16">
        <f t="shared" si="0"/>
        <v>0</v>
      </c>
      <c r="O78" s="17"/>
      <c r="P78" s="13"/>
      <c r="Q78" s="15"/>
      <c r="R78" s="16">
        <f t="shared" si="1"/>
        <v>0</v>
      </c>
      <c r="S78" s="16">
        <f t="shared" si="2"/>
        <v>0</v>
      </c>
      <c r="T78" s="18">
        <f t="shared" si="3"/>
        <v>0</v>
      </c>
    </row>
    <row r="79" spans="1:20" ht="15.75" customHeight="1" x14ac:dyDescent="0.35">
      <c r="A79" s="27"/>
      <c r="B79" s="19"/>
      <c r="C79" s="25"/>
      <c r="D79" s="22"/>
      <c r="E79" s="24"/>
      <c r="F79" s="46">
        <f t="shared" si="10"/>
        <v>0</v>
      </c>
      <c r="G79" s="45"/>
      <c r="H79" s="22"/>
      <c r="I79" s="22"/>
      <c r="J79" s="22"/>
      <c r="K79" s="22"/>
      <c r="L79" s="24"/>
      <c r="M79" s="24"/>
      <c r="N79" s="8">
        <f t="shared" si="0"/>
        <v>0</v>
      </c>
      <c r="O79" s="25"/>
      <c r="P79" s="22"/>
      <c r="Q79" s="24"/>
      <c r="R79" s="8">
        <f t="shared" si="1"/>
        <v>0</v>
      </c>
      <c r="S79" s="8">
        <f t="shared" si="2"/>
        <v>0</v>
      </c>
      <c r="T79" s="10">
        <f t="shared" si="3"/>
        <v>0</v>
      </c>
    </row>
    <row r="80" spans="1:20" ht="15.75" customHeight="1" x14ac:dyDescent="0.35">
      <c r="A80" s="26"/>
      <c r="B80" s="61"/>
      <c r="C80" s="17"/>
      <c r="D80" s="13"/>
      <c r="E80" s="15"/>
      <c r="F80" s="47">
        <f t="shared" si="10"/>
        <v>0</v>
      </c>
      <c r="G80" s="44"/>
      <c r="H80" s="13"/>
      <c r="I80" s="13"/>
      <c r="J80" s="13"/>
      <c r="K80" s="13"/>
      <c r="L80" s="15"/>
      <c r="M80" s="15"/>
      <c r="N80" s="16">
        <f t="shared" si="0"/>
        <v>0</v>
      </c>
      <c r="O80" s="17"/>
      <c r="P80" s="13"/>
      <c r="Q80" s="15"/>
      <c r="R80" s="16">
        <f t="shared" si="1"/>
        <v>0</v>
      </c>
      <c r="S80" s="16">
        <f t="shared" si="2"/>
        <v>0</v>
      </c>
      <c r="T80" s="18">
        <f t="shared" si="3"/>
        <v>0</v>
      </c>
    </row>
    <row r="81" spans="1:20" ht="15.75" customHeight="1" x14ac:dyDescent="0.35">
      <c r="A81" s="27"/>
      <c r="B81" s="19"/>
      <c r="C81" s="25"/>
      <c r="D81" s="22"/>
      <c r="E81" s="24"/>
      <c r="F81" s="46">
        <f t="shared" si="10"/>
        <v>0</v>
      </c>
      <c r="G81" s="45"/>
      <c r="H81" s="22"/>
      <c r="I81" s="22"/>
      <c r="J81" s="22"/>
      <c r="K81" s="22"/>
      <c r="L81" s="24"/>
      <c r="M81" s="24"/>
      <c r="N81" s="8">
        <f t="shared" si="0"/>
        <v>0</v>
      </c>
      <c r="O81" s="25"/>
      <c r="P81" s="22"/>
      <c r="Q81" s="24"/>
      <c r="R81" s="8">
        <f t="shared" si="1"/>
        <v>0</v>
      </c>
      <c r="S81" s="8">
        <f t="shared" si="2"/>
        <v>0</v>
      </c>
      <c r="T81" s="10">
        <f t="shared" si="3"/>
        <v>0</v>
      </c>
    </row>
    <row r="82" spans="1:20" ht="15.75" customHeight="1" x14ac:dyDescent="0.35">
      <c r="A82" s="26"/>
      <c r="B82" s="61"/>
      <c r="C82" s="17"/>
      <c r="D82" s="13"/>
      <c r="E82" s="15"/>
      <c r="F82" s="47">
        <f t="shared" si="10"/>
        <v>0</v>
      </c>
      <c r="G82" s="44"/>
      <c r="H82" s="13"/>
      <c r="I82" s="13"/>
      <c r="J82" s="13"/>
      <c r="K82" s="13"/>
      <c r="L82" s="15"/>
      <c r="M82" s="15"/>
      <c r="N82" s="16">
        <f t="shared" si="0"/>
        <v>0</v>
      </c>
      <c r="O82" s="17"/>
      <c r="P82" s="13"/>
      <c r="Q82" s="15"/>
      <c r="R82" s="16">
        <f t="shared" si="1"/>
        <v>0</v>
      </c>
      <c r="S82" s="16">
        <f t="shared" si="2"/>
        <v>0</v>
      </c>
      <c r="T82" s="18">
        <f t="shared" si="3"/>
        <v>0</v>
      </c>
    </row>
    <row r="83" spans="1:20" ht="15.75" customHeight="1" x14ac:dyDescent="0.35">
      <c r="A83" s="27"/>
      <c r="B83" s="19"/>
      <c r="C83" s="25"/>
      <c r="D83" s="22"/>
      <c r="E83" s="24"/>
      <c r="F83" s="46">
        <f t="shared" si="10"/>
        <v>0</v>
      </c>
      <c r="G83" s="45"/>
      <c r="H83" s="22"/>
      <c r="I83" s="22"/>
      <c r="J83" s="22"/>
      <c r="K83" s="22"/>
      <c r="L83" s="24"/>
      <c r="M83" s="24"/>
      <c r="N83" s="8">
        <f t="shared" si="0"/>
        <v>0</v>
      </c>
      <c r="O83" s="25"/>
      <c r="P83" s="22"/>
      <c r="Q83" s="24"/>
      <c r="R83" s="8">
        <f t="shared" si="1"/>
        <v>0</v>
      </c>
      <c r="S83" s="8">
        <f t="shared" si="2"/>
        <v>0</v>
      </c>
      <c r="T83" s="10">
        <f t="shared" si="3"/>
        <v>0</v>
      </c>
    </row>
    <row r="84" spans="1:20" ht="15.75" customHeight="1" x14ac:dyDescent="0.35">
      <c r="A84" s="26"/>
      <c r="B84" s="61"/>
      <c r="C84" s="17"/>
      <c r="D84" s="13"/>
      <c r="E84" s="15"/>
      <c r="F84" s="47">
        <f t="shared" si="10"/>
        <v>0</v>
      </c>
      <c r="G84" s="44"/>
      <c r="H84" s="13"/>
      <c r="I84" s="13"/>
      <c r="J84" s="13"/>
      <c r="K84" s="13"/>
      <c r="L84" s="15"/>
      <c r="M84" s="15"/>
      <c r="N84" s="16">
        <f t="shared" si="0"/>
        <v>0</v>
      </c>
      <c r="O84" s="17"/>
      <c r="P84" s="13"/>
      <c r="Q84" s="15"/>
      <c r="R84" s="16">
        <f t="shared" si="1"/>
        <v>0</v>
      </c>
      <c r="S84" s="16">
        <f t="shared" si="2"/>
        <v>0</v>
      </c>
      <c r="T84" s="18">
        <f t="shared" si="3"/>
        <v>0</v>
      </c>
    </row>
    <row r="85" spans="1:20" ht="15.75" customHeight="1" x14ac:dyDescent="0.35">
      <c r="A85" s="27"/>
      <c r="B85" s="19"/>
      <c r="C85" s="25"/>
      <c r="D85" s="22"/>
      <c r="E85" s="24"/>
      <c r="F85" s="46">
        <f t="shared" si="10"/>
        <v>0</v>
      </c>
      <c r="G85" s="45"/>
      <c r="H85" s="22"/>
      <c r="I85" s="22"/>
      <c r="J85" s="22"/>
      <c r="K85" s="22"/>
      <c r="L85" s="24"/>
      <c r="M85" s="24"/>
      <c r="N85" s="8">
        <f t="shared" si="0"/>
        <v>0</v>
      </c>
      <c r="O85" s="25"/>
      <c r="P85" s="22"/>
      <c r="Q85" s="24"/>
      <c r="R85" s="8">
        <f t="shared" si="1"/>
        <v>0</v>
      </c>
      <c r="S85" s="8">
        <f t="shared" si="2"/>
        <v>0</v>
      </c>
      <c r="T85" s="10">
        <f t="shared" si="3"/>
        <v>0</v>
      </c>
    </row>
    <row r="86" spans="1:20" ht="15.75" customHeight="1" x14ac:dyDescent="0.35">
      <c r="A86" s="26"/>
      <c r="B86" s="61"/>
      <c r="C86" s="17"/>
      <c r="D86" s="13"/>
      <c r="E86" s="15"/>
      <c r="F86" s="47">
        <f t="shared" si="10"/>
        <v>0</v>
      </c>
      <c r="G86" s="44"/>
      <c r="H86" s="13"/>
      <c r="I86" s="13"/>
      <c r="J86" s="13"/>
      <c r="K86" s="13"/>
      <c r="L86" s="15"/>
      <c r="M86" s="15"/>
      <c r="N86" s="16">
        <f t="shared" si="0"/>
        <v>0</v>
      </c>
      <c r="O86" s="17"/>
      <c r="P86" s="13"/>
      <c r="Q86" s="15"/>
      <c r="R86" s="16">
        <f t="shared" si="1"/>
        <v>0</v>
      </c>
      <c r="S86" s="16">
        <f t="shared" si="2"/>
        <v>0</v>
      </c>
      <c r="T86" s="18">
        <f t="shared" si="3"/>
        <v>0</v>
      </c>
    </row>
    <row r="87" spans="1:20" ht="15.75" customHeight="1" x14ac:dyDescent="0.35">
      <c r="A87" s="27"/>
      <c r="B87" s="19"/>
      <c r="C87" s="25"/>
      <c r="D87" s="22"/>
      <c r="E87" s="24"/>
      <c r="F87" s="46">
        <f t="shared" si="10"/>
        <v>0</v>
      </c>
      <c r="G87" s="45"/>
      <c r="H87" s="22"/>
      <c r="I87" s="22"/>
      <c r="J87" s="22"/>
      <c r="K87" s="22"/>
      <c r="L87" s="24"/>
      <c r="M87" s="24"/>
      <c r="N87" s="8">
        <f t="shared" si="0"/>
        <v>0</v>
      </c>
      <c r="O87" s="25"/>
      <c r="P87" s="22"/>
      <c r="Q87" s="24"/>
      <c r="R87" s="8">
        <f t="shared" si="1"/>
        <v>0</v>
      </c>
      <c r="S87" s="8">
        <f t="shared" si="2"/>
        <v>0</v>
      </c>
      <c r="T87" s="10">
        <f t="shared" si="3"/>
        <v>0</v>
      </c>
    </row>
    <row r="88" spans="1:20" ht="15.75" customHeight="1" x14ac:dyDescent="0.35">
      <c r="A88" s="26"/>
      <c r="B88" s="61"/>
      <c r="C88" s="17"/>
      <c r="D88" s="13"/>
      <c r="E88" s="15"/>
      <c r="F88" s="47">
        <f t="shared" si="10"/>
        <v>0</v>
      </c>
      <c r="G88" s="44"/>
      <c r="H88" s="13"/>
      <c r="I88" s="13"/>
      <c r="J88" s="13"/>
      <c r="K88" s="13"/>
      <c r="L88" s="15"/>
      <c r="M88" s="15"/>
      <c r="N88" s="16">
        <f t="shared" si="0"/>
        <v>0</v>
      </c>
      <c r="O88" s="17"/>
      <c r="P88" s="13"/>
      <c r="Q88" s="15"/>
      <c r="R88" s="16">
        <f t="shared" si="1"/>
        <v>0</v>
      </c>
      <c r="S88" s="16">
        <f t="shared" si="2"/>
        <v>0</v>
      </c>
      <c r="T88" s="18">
        <f t="shared" si="3"/>
        <v>0</v>
      </c>
    </row>
    <row r="89" spans="1:20" ht="15.75" customHeight="1" x14ac:dyDescent="0.35">
      <c r="A89" s="27"/>
      <c r="B89" s="19"/>
      <c r="C89" s="25"/>
      <c r="D89" s="22"/>
      <c r="E89" s="24"/>
      <c r="F89" s="46">
        <f t="shared" si="10"/>
        <v>0</v>
      </c>
      <c r="G89" s="45"/>
      <c r="H89" s="22"/>
      <c r="I89" s="22"/>
      <c r="J89" s="22"/>
      <c r="K89" s="22"/>
      <c r="L89" s="24"/>
      <c r="M89" s="24"/>
      <c r="N89" s="8">
        <f t="shared" si="0"/>
        <v>0</v>
      </c>
      <c r="O89" s="25"/>
      <c r="P89" s="22"/>
      <c r="Q89" s="24"/>
      <c r="R89" s="8">
        <f t="shared" si="1"/>
        <v>0</v>
      </c>
      <c r="S89" s="8">
        <f t="shared" si="2"/>
        <v>0</v>
      </c>
      <c r="T89" s="10">
        <f t="shared" si="3"/>
        <v>0</v>
      </c>
    </row>
    <row r="90" spans="1:20" ht="15.75" customHeight="1" x14ac:dyDescent="0.35">
      <c r="A90" s="26"/>
      <c r="B90" s="61"/>
      <c r="C90" s="17"/>
      <c r="D90" s="13"/>
      <c r="E90" s="15"/>
      <c r="F90" s="47">
        <f t="shared" si="10"/>
        <v>0</v>
      </c>
      <c r="G90" s="44"/>
      <c r="H90" s="13"/>
      <c r="I90" s="13"/>
      <c r="J90" s="13"/>
      <c r="K90" s="13"/>
      <c r="L90" s="15"/>
      <c r="M90" s="15"/>
      <c r="N90" s="16">
        <f t="shared" si="0"/>
        <v>0</v>
      </c>
      <c r="O90" s="17"/>
      <c r="P90" s="13"/>
      <c r="Q90" s="15"/>
      <c r="R90" s="16">
        <f t="shared" si="1"/>
        <v>0</v>
      </c>
      <c r="S90" s="16">
        <f t="shared" si="2"/>
        <v>0</v>
      </c>
      <c r="T90" s="18">
        <f t="shared" si="3"/>
        <v>0</v>
      </c>
    </row>
    <row r="91" spans="1:20" ht="15.75" customHeight="1" x14ac:dyDescent="0.35">
      <c r="A91" s="27"/>
      <c r="B91" s="19"/>
      <c r="C91" s="25"/>
      <c r="D91" s="22"/>
      <c r="E91" s="24"/>
      <c r="F91" s="46">
        <f t="shared" si="10"/>
        <v>0</v>
      </c>
      <c r="G91" s="45"/>
      <c r="H91" s="22"/>
      <c r="I91" s="22"/>
      <c r="J91" s="22"/>
      <c r="K91" s="22"/>
      <c r="L91" s="24"/>
      <c r="M91" s="24"/>
      <c r="N91" s="8">
        <f t="shared" si="0"/>
        <v>0</v>
      </c>
      <c r="O91" s="25"/>
      <c r="P91" s="22"/>
      <c r="Q91" s="24"/>
      <c r="R91" s="8">
        <f t="shared" si="1"/>
        <v>0</v>
      </c>
      <c r="S91" s="8">
        <f t="shared" si="2"/>
        <v>0</v>
      </c>
      <c r="T91" s="10">
        <f t="shared" si="3"/>
        <v>0</v>
      </c>
    </row>
    <row r="92" spans="1:20" ht="15.75" customHeight="1" x14ac:dyDescent="0.35">
      <c r="A92" s="26"/>
      <c r="B92" s="61"/>
      <c r="C92" s="17"/>
      <c r="D92" s="13"/>
      <c r="E92" s="15"/>
      <c r="F92" s="47">
        <f t="shared" si="10"/>
        <v>0</v>
      </c>
      <c r="G92" s="44"/>
      <c r="H92" s="13"/>
      <c r="I92" s="13"/>
      <c r="J92" s="13"/>
      <c r="K92" s="13"/>
      <c r="L92" s="15"/>
      <c r="M92" s="15"/>
      <c r="N92" s="16">
        <f t="shared" si="0"/>
        <v>0</v>
      </c>
      <c r="O92" s="17"/>
      <c r="P92" s="13"/>
      <c r="Q92" s="15"/>
      <c r="R92" s="16">
        <f t="shared" si="1"/>
        <v>0</v>
      </c>
      <c r="S92" s="16">
        <f t="shared" si="2"/>
        <v>0</v>
      </c>
      <c r="T92" s="18">
        <f t="shared" si="3"/>
        <v>0</v>
      </c>
    </row>
    <row r="93" spans="1:20" ht="15.75" customHeight="1" x14ac:dyDescent="0.35">
      <c r="A93" s="27"/>
      <c r="B93" s="19"/>
      <c r="C93" s="25"/>
      <c r="D93" s="22"/>
      <c r="E93" s="24"/>
      <c r="F93" s="46">
        <f t="shared" si="10"/>
        <v>0</v>
      </c>
      <c r="G93" s="45"/>
      <c r="H93" s="22"/>
      <c r="I93" s="22"/>
      <c r="J93" s="22"/>
      <c r="K93" s="22"/>
      <c r="L93" s="24"/>
      <c r="M93" s="24"/>
      <c r="N93" s="8">
        <f t="shared" si="0"/>
        <v>0</v>
      </c>
      <c r="O93" s="25"/>
      <c r="P93" s="22"/>
      <c r="Q93" s="24"/>
      <c r="R93" s="8">
        <f t="shared" si="1"/>
        <v>0</v>
      </c>
      <c r="S93" s="8">
        <f t="shared" si="2"/>
        <v>0</v>
      </c>
      <c r="T93" s="10">
        <f t="shared" si="3"/>
        <v>0</v>
      </c>
    </row>
    <row r="94" spans="1:20" ht="15.75" customHeight="1" x14ac:dyDescent="0.35">
      <c r="A94" s="26"/>
      <c r="B94" s="61"/>
      <c r="C94" s="17"/>
      <c r="D94" s="13"/>
      <c r="E94" s="15"/>
      <c r="F94" s="47">
        <f t="shared" si="10"/>
        <v>0</v>
      </c>
      <c r="G94" s="44"/>
      <c r="H94" s="13"/>
      <c r="I94" s="13"/>
      <c r="J94" s="13"/>
      <c r="K94" s="13"/>
      <c r="L94" s="15"/>
      <c r="M94" s="15"/>
      <c r="N94" s="16">
        <f t="shared" si="0"/>
        <v>0</v>
      </c>
      <c r="O94" s="17"/>
      <c r="P94" s="13"/>
      <c r="Q94" s="15"/>
      <c r="R94" s="16">
        <f t="shared" si="1"/>
        <v>0</v>
      </c>
      <c r="S94" s="16">
        <f t="shared" si="2"/>
        <v>0</v>
      </c>
      <c r="T94" s="18">
        <f t="shared" si="3"/>
        <v>0</v>
      </c>
    </row>
    <row r="95" spans="1:20" ht="15.75" customHeight="1" x14ac:dyDescent="0.35">
      <c r="A95" s="27"/>
      <c r="B95" s="19"/>
      <c r="C95" s="25"/>
      <c r="D95" s="22"/>
      <c r="E95" s="24"/>
      <c r="F95" s="46">
        <f t="shared" si="10"/>
        <v>0</v>
      </c>
      <c r="G95" s="45"/>
      <c r="H95" s="22"/>
      <c r="I95" s="22"/>
      <c r="J95" s="22"/>
      <c r="K95" s="22"/>
      <c r="L95" s="24"/>
      <c r="M95" s="24"/>
      <c r="N95" s="8">
        <f t="shared" si="0"/>
        <v>0</v>
      </c>
      <c r="O95" s="25"/>
      <c r="P95" s="22"/>
      <c r="Q95" s="24"/>
      <c r="R95" s="8">
        <f t="shared" si="1"/>
        <v>0</v>
      </c>
      <c r="S95" s="8">
        <f t="shared" si="2"/>
        <v>0</v>
      </c>
      <c r="T95" s="10">
        <f t="shared" si="3"/>
        <v>0</v>
      </c>
    </row>
    <row r="96" spans="1:20" ht="15.75" customHeight="1" x14ac:dyDescent="0.35">
      <c r="A96" s="26"/>
      <c r="B96" s="61"/>
      <c r="C96" s="17"/>
      <c r="D96" s="13"/>
      <c r="E96" s="15"/>
      <c r="F96" s="47">
        <f t="shared" si="10"/>
        <v>0</v>
      </c>
      <c r="G96" s="44"/>
      <c r="H96" s="13"/>
      <c r="I96" s="13"/>
      <c r="J96" s="13"/>
      <c r="K96" s="13"/>
      <c r="L96" s="15"/>
      <c r="M96" s="15"/>
      <c r="N96" s="16">
        <f t="shared" si="0"/>
        <v>0</v>
      </c>
      <c r="O96" s="17"/>
      <c r="P96" s="13"/>
      <c r="Q96" s="15"/>
      <c r="R96" s="16">
        <f t="shared" si="1"/>
        <v>0</v>
      </c>
      <c r="S96" s="16">
        <f t="shared" si="2"/>
        <v>0</v>
      </c>
      <c r="T96" s="18">
        <f t="shared" si="3"/>
        <v>0</v>
      </c>
    </row>
    <row r="97" spans="1:20" ht="15.75" customHeight="1" x14ac:dyDescent="0.35">
      <c r="A97" s="27"/>
      <c r="B97" s="19"/>
      <c r="C97" s="25"/>
      <c r="D97" s="22"/>
      <c r="E97" s="24"/>
      <c r="F97" s="21">
        <f t="shared" si="10"/>
        <v>0</v>
      </c>
      <c r="G97" s="25"/>
      <c r="H97" s="22"/>
      <c r="I97" s="22"/>
      <c r="J97" s="22"/>
      <c r="K97" s="22"/>
      <c r="L97" s="24"/>
      <c r="M97" s="24"/>
      <c r="N97" s="8">
        <f t="shared" si="0"/>
        <v>0</v>
      </c>
      <c r="O97" s="25"/>
      <c r="P97" s="22"/>
      <c r="Q97" s="24"/>
      <c r="R97" s="8">
        <f t="shared" si="1"/>
        <v>0</v>
      </c>
      <c r="S97" s="8">
        <f t="shared" si="2"/>
        <v>0</v>
      </c>
      <c r="T97" s="10">
        <f t="shared" si="3"/>
        <v>0</v>
      </c>
    </row>
    <row r="98" spans="1:20" ht="15.75" customHeight="1" thickBot="1" x14ac:dyDescent="0.4">
      <c r="A98" s="26"/>
      <c r="B98" s="61"/>
      <c r="C98" s="17"/>
      <c r="D98" s="13"/>
      <c r="E98" s="15"/>
      <c r="F98" s="12">
        <f t="shared" si="10"/>
        <v>0</v>
      </c>
      <c r="G98" s="17"/>
      <c r="H98" s="13"/>
      <c r="I98" s="13"/>
      <c r="J98" s="13"/>
      <c r="K98" s="13"/>
      <c r="L98" s="15"/>
      <c r="M98" s="15"/>
      <c r="N98" s="16">
        <f t="shared" si="0"/>
        <v>0</v>
      </c>
      <c r="O98" s="17"/>
      <c r="P98" s="13"/>
      <c r="Q98" s="15"/>
      <c r="R98" s="16">
        <f t="shared" si="1"/>
        <v>0</v>
      </c>
      <c r="S98" s="16">
        <f t="shared" si="2"/>
        <v>0</v>
      </c>
      <c r="T98" s="18">
        <f t="shared" si="3"/>
        <v>0</v>
      </c>
    </row>
    <row r="99" spans="1:20" ht="15.75" customHeight="1" x14ac:dyDescent="0.35">
      <c r="A99" s="27"/>
      <c r="B99" s="19"/>
      <c r="C99" s="25"/>
      <c r="D99" s="22"/>
      <c r="E99" s="24"/>
      <c r="F99" s="4">
        <f t="shared" si="10"/>
        <v>0</v>
      </c>
      <c r="G99" s="25"/>
      <c r="H99" s="22"/>
      <c r="I99" s="22"/>
      <c r="J99" s="22"/>
      <c r="K99" s="22"/>
      <c r="L99" s="24"/>
      <c r="M99" s="24"/>
      <c r="N99" s="8">
        <f t="shared" si="0"/>
        <v>0</v>
      </c>
      <c r="O99" s="25"/>
      <c r="P99" s="22"/>
      <c r="Q99" s="24"/>
      <c r="R99" s="8">
        <f t="shared" si="1"/>
        <v>0</v>
      </c>
      <c r="S99" s="8">
        <f t="shared" si="2"/>
        <v>0</v>
      </c>
      <c r="T99" s="10">
        <f t="shared" si="3"/>
        <v>0</v>
      </c>
    </row>
    <row r="100" spans="1:20" ht="15.75" customHeight="1" thickBot="1" x14ac:dyDescent="0.4">
      <c r="A100" s="26"/>
      <c r="B100" s="61"/>
      <c r="C100" s="17"/>
      <c r="D100" s="13"/>
      <c r="E100" s="15"/>
      <c r="F100" s="12">
        <f t="shared" si="10"/>
        <v>0</v>
      </c>
      <c r="G100" s="17"/>
      <c r="H100" s="13"/>
      <c r="I100" s="13"/>
      <c r="J100" s="13"/>
      <c r="K100" s="13"/>
      <c r="L100" s="15"/>
      <c r="M100" s="15"/>
      <c r="N100" s="16">
        <f t="shared" si="0"/>
        <v>0</v>
      </c>
      <c r="O100" s="17"/>
      <c r="P100" s="13"/>
      <c r="Q100" s="15"/>
      <c r="R100" s="16">
        <f t="shared" si="1"/>
        <v>0</v>
      </c>
      <c r="S100" s="16">
        <f t="shared" si="2"/>
        <v>0</v>
      </c>
      <c r="T100" s="18">
        <f t="shared" si="3"/>
        <v>0</v>
      </c>
    </row>
    <row r="101" spans="1:20" ht="15.75" customHeight="1" x14ac:dyDescent="0.35">
      <c r="A101" s="27"/>
      <c r="B101" s="19"/>
      <c r="C101" s="25"/>
      <c r="D101" s="22"/>
      <c r="E101" s="24"/>
      <c r="F101" s="4">
        <f t="shared" si="10"/>
        <v>0</v>
      </c>
      <c r="G101" s="25"/>
      <c r="H101" s="22"/>
      <c r="I101" s="22"/>
      <c r="J101" s="22"/>
      <c r="K101" s="22"/>
      <c r="L101" s="24"/>
      <c r="M101" s="24"/>
      <c r="N101" s="8">
        <f t="shared" si="0"/>
        <v>0</v>
      </c>
      <c r="O101" s="25"/>
      <c r="P101" s="22"/>
      <c r="Q101" s="24"/>
      <c r="R101" s="8">
        <f t="shared" si="1"/>
        <v>0</v>
      </c>
      <c r="S101" s="8">
        <f t="shared" si="2"/>
        <v>0</v>
      </c>
      <c r="T101" s="10">
        <f t="shared" si="3"/>
        <v>0</v>
      </c>
    </row>
    <row r="102" spans="1:20" ht="15.75" customHeight="1" thickBot="1" x14ac:dyDescent="0.4">
      <c r="A102" s="26"/>
      <c r="B102" s="61"/>
      <c r="C102" s="17"/>
      <c r="D102" s="13"/>
      <c r="E102" s="15"/>
      <c r="F102" s="12">
        <f t="shared" si="10"/>
        <v>0</v>
      </c>
      <c r="G102" s="17"/>
      <c r="H102" s="13"/>
      <c r="I102" s="13"/>
      <c r="J102" s="13"/>
      <c r="K102" s="13"/>
      <c r="L102" s="15"/>
      <c r="M102" s="15"/>
      <c r="N102" s="16">
        <f t="shared" si="0"/>
        <v>0</v>
      </c>
      <c r="O102" s="17"/>
      <c r="P102" s="13"/>
      <c r="Q102" s="15"/>
      <c r="R102" s="16">
        <f t="shared" si="1"/>
        <v>0</v>
      </c>
      <c r="S102" s="16">
        <f t="shared" si="2"/>
        <v>0</v>
      </c>
      <c r="T102" s="18">
        <f t="shared" si="3"/>
        <v>0</v>
      </c>
    </row>
    <row r="103" spans="1:20" ht="15.75" customHeight="1" x14ac:dyDescent="0.35">
      <c r="A103" s="27"/>
      <c r="B103" s="19"/>
      <c r="C103" s="25"/>
      <c r="D103" s="22"/>
      <c r="E103" s="24"/>
      <c r="F103" s="4">
        <f t="shared" si="10"/>
        <v>0</v>
      </c>
      <c r="G103" s="25"/>
      <c r="H103" s="22"/>
      <c r="I103" s="22"/>
      <c r="J103" s="22"/>
      <c r="K103" s="22"/>
      <c r="L103" s="24"/>
      <c r="M103" s="24"/>
      <c r="N103" s="8">
        <f t="shared" si="0"/>
        <v>0</v>
      </c>
      <c r="O103" s="25"/>
      <c r="P103" s="22"/>
      <c r="Q103" s="24"/>
      <c r="R103" s="8">
        <f t="shared" si="1"/>
        <v>0</v>
      </c>
      <c r="S103" s="8">
        <f t="shared" si="2"/>
        <v>0</v>
      </c>
      <c r="T103" s="10">
        <f t="shared" si="3"/>
        <v>0</v>
      </c>
    </row>
    <row r="104" spans="1:20" ht="15.75" customHeight="1" thickBot="1" x14ac:dyDescent="0.4">
      <c r="A104" s="26"/>
      <c r="B104" s="61"/>
      <c r="C104" s="17"/>
      <c r="D104" s="13"/>
      <c r="E104" s="15"/>
      <c r="F104" s="12">
        <f t="shared" si="10"/>
        <v>0</v>
      </c>
      <c r="G104" s="17"/>
      <c r="H104" s="13"/>
      <c r="I104" s="13"/>
      <c r="J104" s="13"/>
      <c r="K104" s="13"/>
      <c r="L104" s="15"/>
      <c r="M104" s="15"/>
      <c r="N104" s="16">
        <f t="shared" si="0"/>
        <v>0</v>
      </c>
      <c r="O104" s="17"/>
      <c r="P104" s="13"/>
      <c r="Q104" s="15"/>
      <c r="R104" s="16">
        <f t="shared" si="1"/>
        <v>0</v>
      </c>
      <c r="S104" s="16">
        <f t="shared" si="2"/>
        <v>0</v>
      </c>
      <c r="T104" s="18">
        <f t="shared" si="3"/>
        <v>0</v>
      </c>
    </row>
    <row r="105" spans="1:20" ht="15.75" customHeight="1" x14ac:dyDescent="0.35">
      <c r="A105" s="27"/>
      <c r="B105" s="19"/>
      <c r="C105" s="25"/>
      <c r="D105" s="22"/>
      <c r="E105" s="24"/>
      <c r="F105" s="4">
        <f t="shared" si="10"/>
        <v>0</v>
      </c>
      <c r="G105" s="25"/>
      <c r="H105" s="22"/>
      <c r="I105" s="22"/>
      <c r="J105" s="22"/>
      <c r="K105" s="22"/>
      <c r="L105" s="24"/>
      <c r="M105" s="24"/>
      <c r="N105" s="8">
        <f t="shared" si="0"/>
        <v>0</v>
      </c>
      <c r="O105" s="25"/>
      <c r="P105" s="22"/>
      <c r="Q105" s="24"/>
      <c r="R105" s="8">
        <f t="shared" si="1"/>
        <v>0</v>
      </c>
      <c r="S105" s="8">
        <f t="shared" si="2"/>
        <v>0</v>
      </c>
      <c r="T105" s="10">
        <f t="shared" si="3"/>
        <v>0</v>
      </c>
    </row>
    <row r="106" spans="1:20" ht="15.75" customHeight="1" thickBot="1" x14ac:dyDescent="0.4">
      <c r="A106" s="26"/>
      <c r="B106" s="61"/>
      <c r="C106" s="17"/>
      <c r="D106" s="13"/>
      <c r="E106" s="15"/>
      <c r="F106" s="12">
        <f t="shared" si="10"/>
        <v>0</v>
      </c>
      <c r="G106" s="17"/>
      <c r="H106" s="13"/>
      <c r="I106" s="13"/>
      <c r="J106" s="13"/>
      <c r="K106" s="13"/>
      <c r="L106" s="15"/>
      <c r="M106" s="15"/>
      <c r="N106" s="16">
        <f t="shared" si="0"/>
        <v>0</v>
      </c>
      <c r="O106" s="17"/>
      <c r="P106" s="13"/>
      <c r="Q106" s="15"/>
      <c r="R106" s="16">
        <f t="shared" si="1"/>
        <v>0</v>
      </c>
      <c r="S106" s="16">
        <f t="shared" si="2"/>
        <v>0</v>
      </c>
      <c r="T106" s="18">
        <f t="shared" si="3"/>
        <v>0</v>
      </c>
    </row>
    <row r="107" spans="1:20" ht="15.75" customHeight="1" x14ac:dyDescent="0.35">
      <c r="A107" s="27"/>
      <c r="B107" s="19"/>
      <c r="C107" s="25"/>
      <c r="D107" s="22"/>
      <c r="E107" s="24"/>
      <c r="F107" s="4">
        <f t="shared" si="10"/>
        <v>0</v>
      </c>
      <c r="G107" s="25"/>
      <c r="H107" s="22"/>
      <c r="I107" s="22"/>
      <c r="J107" s="22"/>
      <c r="K107" s="22"/>
      <c r="L107" s="24"/>
      <c r="M107" s="24"/>
      <c r="N107" s="8">
        <f t="shared" si="0"/>
        <v>0</v>
      </c>
      <c r="O107" s="25"/>
      <c r="P107" s="22"/>
      <c r="Q107" s="24"/>
      <c r="R107" s="8">
        <f t="shared" si="1"/>
        <v>0</v>
      </c>
      <c r="S107" s="8">
        <f t="shared" si="2"/>
        <v>0</v>
      </c>
      <c r="T107" s="10">
        <f t="shared" si="3"/>
        <v>0</v>
      </c>
    </row>
    <row r="108" spans="1:20" ht="15.75" customHeight="1" thickBot="1" x14ac:dyDescent="0.4">
      <c r="A108" s="26"/>
      <c r="B108" s="61"/>
      <c r="C108" s="17"/>
      <c r="D108" s="13"/>
      <c r="E108" s="15"/>
      <c r="F108" s="12">
        <f t="shared" si="10"/>
        <v>0</v>
      </c>
      <c r="G108" s="17"/>
      <c r="H108" s="13"/>
      <c r="I108" s="13"/>
      <c r="J108" s="13"/>
      <c r="K108" s="13"/>
      <c r="L108" s="15"/>
      <c r="M108" s="15"/>
      <c r="N108" s="16">
        <f t="shared" si="0"/>
        <v>0</v>
      </c>
      <c r="O108" s="17"/>
      <c r="P108" s="13"/>
      <c r="Q108" s="15"/>
      <c r="R108" s="16">
        <f t="shared" si="1"/>
        <v>0</v>
      </c>
      <c r="S108" s="16">
        <f t="shared" si="2"/>
        <v>0</v>
      </c>
      <c r="T108" s="18">
        <f t="shared" si="3"/>
        <v>0</v>
      </c>
    </row>
    <row r="109" spans="1:20" ht="15.75" customHeight="1" x14ac:dyDescent="0.35">
      <c r="A109" s="27"/>
      <c r="B109" s="19"/>
      <c r="C109" s="25"/>
      <c r="D109" s="22"/>
      <c r="E109" s="24"/>
      <c r="F109" s="4">
        <f t="shared" si="10"/>
        <v>0</v>
      </c>
      <c r="G109" s="25"/>
      <c r="H109" s="22"/>
      <c r="I109" s="22"/>
      <c r="J109" s="22"/>
      <c r="K109" s="22"/>
      <c r="L109" s="24"/>
      <c r="M109" s="24"/>
      <c r="N109" s="8">
        <f t="shared" si="0"/>
        <v>0</v>
      </c>
      <c r="O109" s="25"/>
      <c r="P109" s="22"/>
      <c r="Q109" s="24"/>
      <c r="R109" s="8">
        <f t="shared" si="1"/>
        <v>0</v>
      </c>
      <c r="S109" s="8">
        <f t="shared" si="2"/>
        <v>0</v>
      </c>
      <c r="T109" s="10">
        <f t="shared" si="3"/>
        <v>0</v>
      </c>
    </row>
    <row r="110" spans="1:20" ht="15.75" customHeight="1" thickBot="1" x14ac:dyDescent="0.4">
      <c r="A110" s="26"/>
      <c r="B110" s="61"/>
      <c r="C110" s="17"/>
      <c r="D110" s="13"/>
      <c r="E110" s="15"/>
      <c r="F110" s="12">
        <f t="shared" si="10"/>
        <v>0</v>
      </c>
      <c r="G110" s="17"/>
      <c r="H110" s="13"/>
      <c r="I110" s="13"/>
      <c r="J110" s="13"/>
      <c r="K110" s="13"/>
      <c r="L110" s="15"/>
      <c r="M110" s="15"/>
      <c r="N110" s="16">
        <f t="shared" si="0"/>
        <v>0</v>
      </c>
      <c r="O110" s="17"/>
      <c r="P110" s="13"/>
      <c r="Q110" s="15"/>
      <c r="R110" s="16">
        <f t="shared" si="1"/>
        <v>0</v>
      </c>
      <c r="S110" s="16">
        <f t="shared" si="2"/>
        <v>0</v>
      </c>
      <c r="T110" s="18">
        <f t="shared" si="3"/>
        <v>0</v>
      </c>
    </row>
    <row r="111" spans="1:20" ht="15.75" customHeight="1" x14ac:dyDescent="0.35">
      <c r="A111" s="27"/>
      <c r="B111" s="19"/>
      <c r="C111" s="25"/>
      <c r="D111" s="22"/>
      <c r="E111" s="24"/>
      <c r="F111" s="4">
        <f t="shared" si="10"/>
        <v>0</v>
      </c>
      <c r="G111" s="25"/>
      <c r="H111" s="22"/>
      <c r="I111" s="22"/>
      <c r="J111" s="22"/>
      <c r="K111" s="22"/>
      <c r="L111" s="24"/>
      <c r="M111" s="24"/>
      <c r="N111" s="8">
        <f t="shared" si="0"/>
        <v>0</v>
      </c>
      <c r="O111" s="25"/>
      <c r="P111" s="22"/>
      <c r="Q111" s="24"/>
      <c r="R111" s="8">
        <f t="shared" si="1"/>
        <v>0</v>
      </c>
      <c r="S111" s="8">
        <f t="shared" si="2"/>
        <v>0</v>
      </c>
      <c r="T111" s="10">
        <f t="shared" si="3"/>
        <v>0</v>
      </c>
    </row>
    <row r="112" spans="1:20" ht="15.75" customHeight="1" thickBot="1" x14ac:dyDescent="0.4">
      <c r="A112" s="26"/>
      <c r="B112" s="61"/>
      <c r="C112" s="17"/>
      <c r="D112" s="13"/>
      <c r="E112" s="15"/>
      <c r="F112" s="12">
        <f t="shared" si="10"/>
        <v>0</v>
      </c>
      <c r="G112" s="17"/>
      <c r="H112" s="13"/>
      <c r="I112" s="13"/>
      <c r="J112" s="13"/>
      <c r="K112" s="13"/>
      <c r="L112" s="15"/>
      <c r="M112" s="15"/>
      <c r="N112" s="16">
        <f t="shared" si="0"/>
        <v>0</v>
      </c>
      <c r="O112" s="17"/>
      <c r="P112" s="13"/>
      <c r="Q112" s="15"/>
      <c r="R112" s="16">
        <f t="shared" si="1"/>
        <v>0</v>
      </c>
      <c r="S112" s="16">
        <f t="shared" si="2"/>
        <v>0</v>
      </c>
      <c r="T112" s="18">
        <f t="shared" si="3"/>
        <v>0</v>
      </c>
    </row>
    <row r="113" spans="1:20" ht="15.75" customHeight="1" x14ac:dyDescent="0.35">
      <c r="A113" s="27"/>
      <c r="B113" s="19"/>
      <c r="C113" s="25"/>
      <c r="D113" s="22"/>
      <c r="E113" s="24"/>
      <c r="F113" s="4">
        <f t="shared" si="10"/>
        <v>0</v>
      </c>
      <c r="G113" s="25"/>
      <c r="H113" s="22"/>
      <c r="I113" s="22"/>
      <c r="J113" s="22"/>
      <c r="K113" s="22"/>
      <c r="L113" s="24"/>
      <c r="M113" s="24"/>
      <c r="N113" s="8">
        <f t="shared" si="0"/>
        <v>0</v>
      </c>
      <c r="O113" s="25"/>
      <c r="P113" s="22"/>
      <c r="Q113" s="24"/>
      <c r="R113" s="8">
        <f t="shared" si="1"/>
        <v>0</v>
      </c>
      <c r="S113" s="8">
        <f t="shared" si="2"/>
        <v>0</v>
      </c>
      <c r="T113" s="10">
        <f t="shared" si="3"/>
        <v>0</v>
      </c>
    </row>
    <row r="114" spans="1:20" ht="15.75" customHeight="1" thickBot="1" x14ac:dyDescent="0.4">
      <c r="A114" s="26"/>
      <c r="B114" s="61"/>
      <c r="C114" s="17"/>
      <c r="D114" s="13"/>
      <c r="E114" s="15"/>
      <c r="F114" s="12">
        <f t="shared" si="10"/>
        <v>0</v>
      </c>
      <c r="G114" s="17"/>
      <c r="H114" s="13"/>
      <c r="I114" s="13"/>
      <c r="J114" s="13"/>
      <c r="K114" s="13"/>
      <c r="L114" s="15"/>
      <c r="M114" s="15"/>
      <c r="N114" s="16">
        <f t="shared" si="0"/>
        <v>0</v>
      </c>
      <c r="O114" s="17"/>
      <c r="P114" s="13"/>
      <c r="Q114" s="15"/>
      <c r="R114" s="16">
        <f t="shared" si="1"/>
        <v>0</v>
      </c>
      <c r="S114" s="16">
        <f t="shared" si="2"/>
        <v>0</v>
      </c>
      <c r="T114" s="18">
        <f t="shared" si="3"/>
        <v>0</v>
      </c>
    </row>
    <row r="115" spans="1:20" ht="15.75" customHeight="1" x14ac:dyDescent="0.35">
      <c r="A115" s="27"/>
      <c r="B115" s="19"/>
      <c r="C115" s="25"/>
      <c r="D115" s="22"/>
      <c r="E115" s="24"/>
      <c r="F115" s="4">
        <f t="shared" si="10"/>
        <v>0</v>
      </c>
      <c r="G115" s="25"/>
      <c r="H115" s="22"/>
      <c r="I115" s="22"/>
      <c r="J115" s="22"/>
      <c r="K115" s="22"/>
      <c r="L115" s="24"/>
      <c r="M115" s="24"/>
      <c r="N115" s="8">
        <f t="shared" si="0"/>
        <v>0</v>
      </c>
      <c r="O115" s="25"/>
      <c r="P115" s="22"/>
      <c r="Q115" s="24"/>
      <c r="R115" s="8">
        <f t="shared" si="1"/>
        <v>0</v>
      </c>
      <c r="S115" s="8">
        <f t="shared" si="2"/>
        <v>0</v>
      </c>
      <c r="T115" s="10">
        <f t="shared" si="3"/>
        <v>0</v>
      </c>
    </row>
    <row r="116" spans="1:20" ht="15.75" customHeight="1" thickBot="1" x14ac:dyDescent="0.4">
      <c r="A116" s="26"/>
      <c r="B116" s="61"/>
      <c r="C116" s="17"/>
      <c r="D116" s="13"/>
      <c r="E116" s="15"/>
      <c r="F116" s="12">
        <f t="shared" si="10"/>
        <v>0</v>
      </c>
      <c r="G116" s="17"/>
      <c r="H116" s="13"/>
      <c r="I116" s="13"/>
      <c r="J116" s="13"/>
      <c r="K116" s="13"/>
      <c r="L116" s="15"/>
      <c r="M116" s="15"/>
      <c r="N116" s="16">
        <f t="shared" si="0"/>
        <v>0</v>
      </c>
      <c r="O116" s="17"/>
      <c r="P116" s="13"/>
      <c r="Q116" s="15"/>
      <c r="R116" s="16">
        <f t="shared" si="1"/>
        <v>0</v>
      </c>
      <c r="S116" s="16">
        <f t="shared" si="2"/>
        <v>0</v>
      </c>
      <c r="T116" s="18">
        <f t="shared" si="3"/>
        <v>0</v>
      </c>
    </row>
    <row r="117" spans="1:20" ht="15.75" customHeight="1" x14ac:dyDescent="0.35">
      <c r="A117" s="27"/>
      <c r="B117" s="19"/>
      <c r="C117" s="25"/>
      <c r="D117" s="22"/>
      <c r="E117" s="24"/>
      <c r="F117" s="4">
        <f t="shared" si="10"/>
        <v>0</v>
      </c>
      <c r="G117" s="25"/>
      <c r="H117" s="22"/>
      <c r="I117" s="22"/>
      <c r="J117" s="22"/>
      <c r="K117" s="22"/>
      <c r="L117" s="24"/>
      <c r="M117" s="24"/>
      <c r="N117" s="8">
        <f t="shared" si="0"/>
        <v>0</v>
      </c>
      <c r="O117" s="25"/>
      <c r="P117" s="22"/>
      <c r="Q117" s="24"/>
      <c r="R117" s="8">
        <f t="shared" si="1"/>
        <v>0</v>
      </c>
      <c r="S117" s="8">
        <f t="shared" si="2"/>
        <v>0</v>
      </c>
      <c r="T117" s="10">
        <f t="shared" si="3"/>
        <v>0</v>
      </c>
    </row>
    <row r="118" spans="1:20" ht="15.75" customHeight="1" thickBot="1" x14ac:dyDescent="0.4">
      <c r="A118" s="26"/>
      <c r="B118" s="61"/>
      <c r="C118" s="17"/>
      <c r="D118" s="13"/>
      <c r="E118" s="15"/>
      <c r="F118" s="12">
        <f t="shared" si="10"/>
        <v>0</v>
      </c>
      <c r="G118" s="17"/>
      <c r="H118" s="13"/>
      <c r="I118" s="13"/>
      <c r="J118" s="13"/>
      <c r="K118" s="13"/>
      <c r="L118" s="15"/>
      <c r="M118" s="15"/>
      <c r="N118" s="16">
        <f t="shared" si="0"/>
        <v>0</v>
      </c>
      <c r="O118" s="17"/>
      <c r="P118" s="13"/>
      <c r="Q118" s="15"/>
      <c r="R118" s="16">
        <f t="shared" si="1"/>
        <v>0</v>
      </c>
      <c r="S118" s="16">
        <f t="shared" si="2"/>
        <v>0</v>
      </c>
      <c r="T118" s="18">
        <f t="shared" si="3"/>
        <v>0</v>
      </c>
    </row>
    <row r="119" spans="1:20" ht="15.75" customHeight="1" x14ac:dyDescent="0.35">
      <c r="A119" s="27"/>
      <c r="B119" s="19"/>
      <c r="C119" s="25"/>
      <c r="D119" s="22"/>
      <c r="E119" s="24"/>
      <c r="F119" s="4">
        <f t="shared" si="10"/>
        <v>0</v>
      </c>
      <c r="G119" s="25"/>
      <c r="H119" s="22"/>
      <c r="I119" s="22"/>
      <c r="J119" s="22"/>
      <c r="K119" s="22"/>
      <c r="L119" s="24"/>
      <c r="M119" s="24"/>
      <c r="N119" s="8">
        <f t="shared" si="0"/>
        <v>0</v>
      </c>
      <c r="O119" s="25"/>
      <c r="P119" s="22"/>
      <c r="Q119" s="24"/>
      <c r="R119" s="8">
        <f t="shared" si="1"/>
        <v>0</v>
      </c>
      <c r="S119" s="8">
        <f t="shared" si="2"/>
        <v>0</v>
      </c>
      <c r="T119" s="10">
        <f t="shared" si="3"/>
        <v>0</v>
      </c>
    </row>
    <row r="120" spans="1:20" ht="15.75" customHeight="1" thickBot="1" x14ac:dyDescent="0.4">
      <c r="A120" s="26"/>
      <c r="B120" s="61"/>
      <c r="C120" s="17"/>
      <c r="D120" s="13"/>
      <c r="E120" s="15"/>
      <c r="F120" s="12">
        <f t="shared" si="10"/>
        <v>0</v>
      </c>
      <c r="G120" s="17"/>
      <c r="H120" s="13"/>
      <c r="I120" s="13"/>
      <c r="J120" s="13"/>
      <c r="K120" s="13"/>
      <c r="L120" s="15"/>
      <c r="M120" s="15"/>
      <c r="N120" s="16">
        <f t="shared" si="0"/>
        <v>0</v>
      </c>
      <c r="O120" s="17"/>
      <c r="P120" s="13"/>
      <c r="Q120" s="15"/>
      <c r="R120" s="16">
        <f t="shared" si="1"/>
        <v>0</v>
      </c>
      <c r="S120" s="16">
        <f t="shared" si="2"/>
        <v>0</v>
      </c>
      <c r="T120" s="18">
        <f t="shared" si="3"/>
        <v>0</v>
      </c>
    </row>
    <row r="121" spans="1:20" ht="15.75" customHeight="1" x14ac:dyDescent="0.35">
      <c r="A121" s="27"/>
      <c r="B121" s="19"/>
      <c r="C121" s="25"/>
      <c r="D121" s="22"/>
      <c r="E121" s="24"/>
      <c r="F121" s="4">
        <f t="shared" si="10"/>
        <v>0</v>
      </c>
      <c r="G121" s="25"/>
      <c r="H121" s="22"/>
      <c r="I121" s="22"/>
      <c r="J121" s="22"/>
      <c r="K121" s="22"/>
      <c r="L121" s="24"/>
      <c r="M121" s="24"/>
      <c r="N121" s="8">
        <f t="shared" si="0"/>
        <v>0</v>
      </c>
      <c r="O121" s="25"/>
      <c r="P121" s="22"/>
      <c r="Q121" s="24"/>
      <c r="R121" s="8">
        <f t="shared" si="1"/>
        <v>0</v>
      </c>
      <c r="S121" s="8">
        <f t="shared" si="2"/>
        <v>0</v>
      </c>
      <c r="T121" s="10">
        <f t="shared" si="3"/>
        <v>0</v>
      </c>
    </row>
    <row r="122" spans="1:20" ht="15.75" customHeight="1" thickBot="1" x14ac:dyDescent="0.4">
      <c r="A122" s="26"/>
      <c r="B122" s="61"/>
      <c r="C122" s="17"/>
      <c r="D122" s="13"/>
      <c r="E122" s="15"/>
      <c r="F122" s="12">
        <f t="shared" si="10"/>
        <v>0</v>
      </c>
      <c r="G122" s="17"/>
      <c r="H122" s="13"/>
      <c r="I122" s="13"/>
      <c r="J122" s="13"/>
      <c r="K122" s="13"/>
      <c r="L122" s="15"/>
      <c r="M122" s="15"/>
      <c r="N122" s="16">
        <f t="shared" si="0"/>
        <v>0</v>
      </c>
      <c r="O122" s="17"/>
      <c r="P122" s="13"/>
      <c r="Q122" s="15"/>
      <c r="R122" s="16">
        <f t="shared" si="1"/>
        <v>0</v>
      </c>
      <c r="S122" s="16">
        <f t="shared" si="2"/>
        <v>0</v>
      </c>
      <c r="T122" s="18">
        <f t="shared" si="3"/>
        <v>0</v>
      </c>
    </row>
    <row r="123" spans="1:20" ht="15.75" customHeight="1" x14ac:dyDescent="0.35">
      <c r="A123" s="27"/>
      <c r="B123" s="19"/>
      <c r="C123" s="25"/>
      <c r="D123" s="22"/>
      <c r="E123" s="24"/>
      <c r="F123" s="4">
        <f t="shared" si="10"/>
        <v>0</v>
      </c>
      <c r="G123" s="25"/>
      <c r="H123" s="22"/>
      <c r="I123" s="22"/>
      <c r="J123" s="22"/>
      <c r="K123" s="22"/>
      <c r="L123" s="24"/>
      <c r="M123" s="24"/>
      <c r="N123" s="8">
        <f t="shared" si="0"/>
        <v>0</v>
      </c>
      <c r="O123" s="25"/>
      <c r="P123" s="22"/>
      <c r="Q123" s="24"/>
      <c r="R123" s="8">
        <f t="shared" si="1"/>
        <v>0</v>
      </c>
      <c r="S123" s="8">
        <f t="shared" si="2"/>
        <v>0</v>
      </c>
      <c r="T123" s="10">
        <f t="shared" si="3"/>
        <v>0</v>
      </c>
    </row>
    <row r="124" spans="1:20" ht="15.75" customHeight="1" thickBot="1" x14ac:dyDescent="0.4">
      <c r="A124" s="26"/>
      <c r="B124" s="61"/>
      <c r="C124" s="17"/>
      <c r="D124" s="13"/>
      <c r="E124" s="15"/>
      <c r="F124" s="12">
        <f t="shared" si="10"/>
        <v>0</v>
      </c>
      <c r="G124" s="17"/>
      <c r="H124" s="13"/>
      <c r="I124" s="13"/>
      <c r="J124" s="13"/>
      <c r="K124" s="13"/>
      <c r="L124" s="15"/>
      <c r="M124" s="15"/>
      <c r="N124" s="16">
        <f t="shared" si="0"/>
        <v>0</v>
      </c>
      <c r="O124" s="17"/>
      <c r="P124" s="13"/>
      <c r="Q124" s="15"/>
      <c r="R124" s="16">
        <f t="shared" si="1"/>
        <v>0</v>
      </c>
      <c r="S124" s="16">
        <f t="shared" si="2"/>
        <v>0</v>
      </c>
      <c r="T124" s="18">
        <f t="shared" si="3"/>
        <v>0</v>
      </c>
    </row>
    <row r="125" spans="1:20" ht="15.75" customHeight="1" x14ac:dyDescent="0.35">
      <c r="A125" s="27"/>
      <c r="B125" s="19"/>
      <c r="C125" s="25"/>
      <c r="D125" s="22"/>
      <c r="E125" s="24"/>
      <c r="F125" s="4">
        <f t="shared" si="10"/>
        <v>0</v>
      </c>
      <c r="G125" s="25"/>
      <c r="H125" s="22"/>
      <c r="I125" s="22"/>
      <c r="J125" s="22"/>
      <c r="K125" s="22"/>
      <c r="L125" s="24"/>
      <c r="M125" s="24"/>
      <c r="N125" s="8">
        <f t="shared" si="0"/>
        <v>0</v>
      </c>
      <c r="O125" s="25"/>
      <c r="P125" s="22"/>
      <c r="Q125" s="24"/>
      <c r="R125" s="8">
        <f t="shared" si="1"/>
        <v>0</v>
      </c>
      <c r="S125" s="8">
        <f t="shared" si="2"/>
        <v>0</v>
      </c>
      <c r="T125" s="10">
        <f t="shared" si="3"/>
        <v>0</v>
      </c>
    </row>
    <row r="126" spans="1:20" ht="15.75" customHeight="1" thickBot="1" x14ac:dyDescent="0.4">
      <c r="A126" s="26"/>
      <c r="B126" s="61"/>
      <c r="C126" s="17"/>
      <c r="D126" s="13"/>
      <c r="E126" s="15"/>
      <c r="F126" s="12">
        <f t="shared" si="10"/>
        <v>0</v>
      </c>
      <c r="G126" s="17"/>
      <c r="H126" s="13"/>
      <c r="I126" s="13"/>
      <c r="J126" s="13"/>
      <c r="K126" s="13"/>
      <c r="L126" s="15"/>
      <c r="M126" s="15"/>
      <c r="N126" s="16">
        <f t="shared" si="0"/>
        <v>0</v>
      </c>
      <c r="O126" s="17"/>
      <c r="P126" s="13"/>
      <c r="Q126" s="15"/>
      <c r="R126" s="16">
        <f t="shared" si="1"/>
        <v>0</v>
      </c>
      <c r="S126" s="16">
        <f t="shared" si="2"/>
        <v>0</v>
      </c>
      <c r="T126" s="18">
        <f t="shared" si="3"/>
        <v>0</v>
      </c>
    </row>
    <row r="127" spans="1:20" ht="15.75" customHeight="1" x14ac:dyDescent="0.35">
      <c r="A127" s="27"/>
      <c r="B127" s="19"/>
      <c r="C127" s="25"/>
      <c r="D127" s="22"/>
      <c r="E127" s="24"/>
      <c r="F127" s="4">
        <f t="shared" si="10"/>
        <v>0</v>
      </c>
      <c r="G127" s="25"/>
      <c r="H127" s="22"/>
      <c r="I127" s="22"/>
      <c r="J127" s="22"/>
      <c r="K127" s="22"/>
      <c r="L127" s="24"/>
      <c r="M127" s="24"/>
      <c r="N127" s="8">
        <f t="shared" si="0"/>
        <v>0</v>
      </c>
      <c r="O127" s="25"/>
      <c r="P127" s="22"/>
      <c r="Q127" s="24"/>
      <c r="R127" s="8">
        <f t="shared" si="1"/>
        <v>0</v>
      </c>
      <c r="S127" s="8">
        <f t="shared" si="2"/>
        <v>0</v>
      </c>
      <c r="T127" s="10">
        <f t="shared" si="3"/>
        <v>0</v>
      </c>
    </row>
    <row r="128" spans="1:20" ht="15.75" customHeight="1" thickBot="1" x14ac:dyDescent="0.4">
      <c r="A128" s="26"/>
      <c r="B128" s="61"/>
      <c r="C128" s="17"/>
      <c r="D128" s="13"/>
      <c r="E128" s="15"/>
      <c r="F128" s="12">
        <f t="shared" si="10"/>
        <v>0</v>
      </c>
      <c r="G128" s="17"/>
      <c r="H128" s="13"/>
      <c r="I128" s="13"/>
      <c r="J128" s="13"/>
      <c r="K128" s="13"/>
      <c r="L128" s="15"/>
      <c r="M128" s="15"/>
      <c r="N128" s="16">
        <f t="shared" si="0"/>
        <v>0</v>
      </c>
      <c r="O128" s="17"/>
      <c r="P128" s="13"/>
      <c r="Q128" s="15"/>
      <c r="R128" s="16">
        <f t="shared" si="1"/>
        <v>0</v>
      </c>
      <c r="S128" s="16">
        <f t="shared" si="2"/>
        <v>0</v>
      </c>
      <c r="T128" s="18">
        <f t="shared" si="3"/>
        <v>0</v>
      </c>
    </row>
    <row r="129" spans="1:20" ht="15.75" customHeight="1" x14ac:dyDescent="0.35">
      <c r="A129" s="27"/>
      <c r="B129" s="19"/>
      <c r="C129" s="25"/>
      <c r="D129" s="22"/>
      <c r="E129" s="24"/>
      <c r="F129" s="4">
        <f t="shared" si="10"/>
        <v>0</v>
      </c>
      <c r="G129" s="25"/>
      <c r="H129" s="22"/>
      <c r="I129" s="22"/>
      <c r="J129" s="22"/>
      <c r="K129" s="22"/>
      <c r="L129" s="24"/>
      <c r="M129" s="24"/>
      <c r="N129" s="8">
        <f t="shared" si="0"/>
        <v>0</v>
      </c>
      <c r="O129" s="25"/>
      <c r="P129" s="22"/>
      <c r="Q129" s="24"/>
      <c r="R129" s="8">
        <f t="shared" si="1"/>
        <v>0</v>
      </c>
      <c r="S129" s="8">
        <f t="shared" si="2"/>
        <v>0</v>
      </c>
      <c r="T129" s="10">
        <f t="shared" si="3"/>
        <v>0</v>
      </c>
    </row>
    <row r="130" spans="1:20" ht="15.75" customHeight="1" thickBot="1" x14ac:dyDescent="0.4">
      <c r="A130" s="26"/>
      <c r="B130" s="61"/>
      <c r="C130" s="17"/>
      <c r="D130" s="13"/>
      <c r="E130" s="15"/>
      <c r="F130" s="12">
        <f t="shared" si="10"/>
        <v>0</v>
      </c>
      <c r="G130" s="17"/>
      <c r="H130" s="13"/>
      <c r="I130" s="13"/>
      <c r="J130" s="13"/>
      <c r="K130" s="13"/>
      <c r="L130" s="15"/>
      <c r="M130" s="15"/>
      <c r="N130" s="16">
        <f t="shared" si="0"/>
        <v>0</v>
      </c>
      <c r="O130" s="17"/>
      <c r="P130" s="13"/>
      <c r="Q130" s="15"/>
      <c r="R130" s="16">
        <f t="shared" si="1"/>
        <v>0</v>
      </c>
      <c r="S130" s="16">
        <f t="shared" si="2"/>
        <v>0</v>
      </c>
      <c r="T130" s="18">
        <f t="shared" si="3"/>
        <v>0</v>
      </c>
    </row>
    <row r="131" spans="1:20" ht="15.75" customHeight="1" x14ac:dyDescent="0.35">
      <c r="A131" s="27"/>
      <c r="B131" s="19"/>
      <c r="C131" s="25"/>
      <c r="D131" s="22"/>
      <c r="E131" s="24"/>
      <c r="F131" s="4">
        <f t="shared" si="10"/>
        <v>0</v>
      </c>
      <c r="G131" s="25"/>
      <c r="H131" s="22"/>
      <c r="I131" s="22"/>
      <c r="J131" s="22"/>
      <c r="K131" s="22"/>
      <c r="L131" s="24"/>
      <c r="M131" s="24"/>
      <c r="N131" s="8">
        <f t="shared" si="0"/>
        <v>0</v>
      </c>
      <c r="O131" s="25"/>
      <c r="P131" s="22"/>
      <c r="Q131" s="24"/>
      <c r="R131" s="8">
        <f t="shared" si="1"/>
        <v>0</v>
      </c>
      <c r="S131" s="8">
        <f t="shared" si="2"/>
        <v>0</v>
      </c>
      <c r="T131" s="10">
        <f t="shared" si="3"/>
        <v>0</v>
      </c>
    </row>
    <row r="132" spans="1:20" ht="15.75" customHeight="1" thickBot="1" x14ac:dyDescent="0.4">
      <c r="A132" s="26"/>
      <c r="B132" s="61"/>
      <c r="C132" s="17"/>
      <c r="D132" s="13"/>
      <c r="E132" s="15"/>
      <c r="F132" s="12">
        <f t="shared" si="10"/>
        <v>0</v>
      </c>
      <c r="G132" s="17"/>
      <c r="H132" s="13"/>
      <c r="I132" s="13"/>
      <c r="J132" s="13"/>
      <c r="K132" s="13"/>
      <c r="L132" s="15"/>
      <c r="M132" s="15"/>
      <c r="N132" s="16">
        <f t="shared" si="0"/>
        <v>0</v>
      </c>
      <c r="O132" s="17"/>
      <c r="P132" s="13"/>
      <c r="Q132" s="15"/>
      <c r="R132" s="16">
        <f t="shared" si="1"/>
        <v>0</v>
      </c>
      <c r="S132" s="16">
        <f t="shared" si="2"/>
        <v>0</v>
      </c>
      <c r="T132" s="18">
        <f t="shared" si="3"/>
        <v>0</v>
      </c>
    </row>
    <row r="133" spans="1:20" ht="15.75" customHeight="1" x14ac:dyDescent="0.35">
      <c r="A133" s="27"/>
      <c r="B133" s="19"/>
      <c r="C133" s="25"/>
      <c r="D133" s="22"/>
      <c r="E133" s="24"/>
      <c r="F133" s="4">
        <f t="shared" si="10"/>
        <v>0</v>
      </c>
      <c r="G133" s="25"/>
      <c r="H133" s="22"/>
      <c r="I133" s="22"/>
      <c r="J133" s="22"/>
      <c r="K133" s="22"/>
      <c r="L133" s="24"/>
      <c r="M133" s="24"/>
      <c r="N133" s="8">
        <f t="shared" si="0"/>
        <v>0</v>
      </c>
      <c r="O133" s="25"/>
      <c r="P133" s="22"/>
      <c r="Q133" s="24"/>
      <c r="R133" s="8">
        <f t="shared" si="1"/>
        <v>0</v>
      </c>
      <c r="S133" s="8">
        <f t="shared" si="2"/>
        <v>0</v>
      </c>
      <c r="T133" s="10">
        <f t="shared" si="3"/>
        <v>0</v>
      </c>
    </row>
    <row r="134" spans="1:20" ht="15.75" customHeight="1" thickBot="1" x14ac:dyDescent="0.4">
      <c r="A134" s="26"/>
      <c r="B134" s="61"/>
      <c r="C134" s="17"/>
      <c r="D134" s="13"/>
      <c r="E134" s="15"/>
      <c r="F134" s="12">
        <f t="shared" ref="F134:F154" si="11">SUM(C134:E134)</f>
        <v>0</v>
      </c>
      <c r="G134" s="17"/>
      <c r="H134" s="13"/>
      <c r="I134" s="13"/>
      <c r="J134" s="13"/>
      <c r="K134" s="13"/>
      <c r="L134" s="15"/>
      <c r="M134" s="15"/>
      <c r="N134" s="16">
        <f t="shared" si="0"/>
        <v>0</v>
      </c>
      <c r="O134" s="17"/>
      <c r="P134" s="13"/>
      <c r="Q134" s="15"/>
      <c r="R134" s="16">
        <f t="shared" si="1"/>
        <v>0</v>
      </c>
      <c r="S134" s="16">
        <f t="shared" si="2"/>
        <v>0</v>
      </c>
      <c r="T134" s="18">
        <f t="shared" si="3"/>
        <v>0</v>
      </c>
    </row>
    <row r="135" spans="1:20" ht="15.75" customHeight="1" x14ac:dyDescent="0.35">
      <c r="A135" s="27"/>
      <c r="B135" s="19"/>
      <c r="C135" s="25"/>
      <c r="D135" s="22"/>
      <c r="E135" s="24"/>
      <c r="F135" s="4">
        <f t="shared" si="11"/>
        <v>0</v>
      </c>
      <c r="G135" s="25"/>
      <c r="H135" s="22"/>
      <c r="I135" s="22"/>
      <c r="J135" s="22"/>
      <c r="K135" s="22"/>
      <c r="L135" s="24"/>
      <c r="M135" s="24"/>
      <c r="N135" s="8">
        <f t="shared" si="0"/>
        <v>0</v>
      </c>
      <c r="O135" s="25"/>
      <c r="P135" s="22"/>
      <c r="Q135" s="24"/>
      <c r="R135" s="8">
        <f t="shared" si="1"/>
        <v>0</v>
      </c>
      <c r="S135" s="8">
        <f t="shared" si="2"/>
        <v>0</v>
      </c>
      <c r="T135" s="10">
        <f t="shared" si="3"/>
        <v>0</v>
      </c>
    </row>
    <row r="136" spans="1:20" ht="15.75" customHeight="1" thickBot="1" x14ac:dyDescent="0.4">
      <c r="A136" s="26"/>
      <c r="B136" s="61"/>
      <c r="C136" s="17"/>
      <c r="D136" s="13"/>
      <c r="E136" s="15"/>
      <c r="F136" s="12">
        <f t="shared" si="11"/>
        <v>0</v>
      </c>
      <c r="G136" s="17"/>
      <c r="H136" s="13"/>
      <c r="I136" s="13"/>
      <c r="J136" s="13"/>
      <c r="K136" s="13"/>
      <c r="L136" s="15"/>
      <c r="M136" s="15"/>
      <c r="N136" s="16">
        <f t="shared" si="0"/>
        <v>0</v>
      </c>
      <c r="O136" s="17"/>
      <c r="P136" s="13"/>
      <c r="Q136" s="15"/>
      <c r="R136" s="16">
        <f t="shared" si="1"/>
        <v>0</v>
      </c>
      <c r="S136" s="16">
        <f t="shared" si="2"/>
        <v>0</v>
      </c>
      <c r="T136" s="18">
        <f t="shared" si="3"/>
        <v>0</v>
      </c>
    </row>
    <row r="137" spans="1:20" ht="15.75" customHeight="1" x14ac:dyDescent="0.35">
      <c r="A137" s="27"/>
      <c r="B137" s="19"/>
      <c r="C137" s="25"/>
      <c r="D137" s="22"/>
      <c r="E137" s="24"/>
      <c r="F137" s="4">
        <f t="shared" si="11"/>
        <v>0</v>
      </c>
      <c r="G137" s="25"/>
      <c r="H137" s="22"/>
      <c r="I137" s="22"/>
      <c r="J137" s="22"/>
      <c r="K137" s="22"/>
      <c r="L137" s="24"/>
      <c r="M137" s="24"/>
      <c r="N137" s="8">
        <f t="shared" si="0"/>
        <v>0</v>
      </c>
      <c r="O137" s="25"/>
      <c r="P137" s="22"/>
      <c r="Q137" s="24"/>
      <c r="R137" s="8">
        <f t="shared" si="1"/>
        <v>0</v>
      </c>
      <c r="S137" s="8">
        <f t="shared" si="2"/>
        <v>0</v>
      </c>
      <c r="T137" s="10">
        <f t="shared" si="3"/>
        <v>0</v>
      </c>
    </row>
    <row r="138" spans="1:20" ht="15.75" customHeight="1" thickBot="1" x14ac:dyDescent="0.4">
      <c r="A138" s="26"/>
      <c r="B138" s="61"/>
      <c r="C138" s="17"/>
      <c r="D138" s="13"/>
      <c r="E138" s="15"/>
      <c r="F138" s="12">
        <f t="shared" si="11"/>
        <v>0</v>
      </c>
      <c r="G138" s="17"/>
      <c r="H138" s="13"/>
      <c r="I138" s="13"/>
      <c r="J138" s="13"/>
      <c r="K138" s="13"/>
      <c r="L138" s="15"/>
      <c r="M138" s="15"/>
      <c r="N138" s="16">
        <f t="shared" si="0"/>
        <v>0</v>
      </c>
      <c r="O138" s="17"/>
      <c r="P138" s="13"/>
      <c r="Q138" s="15"/>
      <c r="R138" s="16">
        <f t="shared" si="1"/>
        <v>0</v>
      </c>
      <c r="S138" s="16">
        <f t="shared" si="2"/>
        <v>0</v>
      </c>
      <c r="T138" s="18">
        <f t="shared" si="3"/>
        <v>0</v>
      </c>
    </row>
    <row r="139" spans="1:20" ht="15.75" customHeight="1" x14ac:dyDescent="0.35">
      <c r="A139" s="27"/>
      <c r="B139" s="19"/>
      <c r="C139" s="25"/>
      <c r="D139" s="22"/>
      <c r="E139" s="24"/>
      <c r="F139" s="4">
        <f t="shared" si="11"/>
        <v>0</v>
      </c>
      <c r="G139" s="25"/>
      <c r="H139" s="22"/>
      <c r="I139" s="22"/>
      <c r="J139" s="22"/>
      <c r="K139" s="22"/>
      <c r="L139" s="24"/>
      <c r="M139" s="24"/>
      <c r="N139" s="8">
        <f t="shared" si="0"/>
        <v>0</v>
      </c>
      <c r="O139" s="25"/>
      <c r="P139" s="22"/>
      <c r="Q139" s="24"/>
      <c r="R139" s="8">
        <f t="shared" si="1"/>
        <v>0</v>
      </c>
      <c r="S139" s="8">
        <f t="shared" si="2"/>
        <v>0</v>
      </c>
      <c r="T139" s="10">
        <f t="shared" si="3"/>
        <v>0</v>
      </c>
    </row>
    <row r="140" spans="1:20" ht="15.75" customHeight="1" thickBot="1" x14ac:dyDescent="0.4">
      <c r="A140" s="26"/>
      <c r="B140" s="61"/>
      <c r="C140" s="17"/>
      <c r="D140" s="13"/>
      <c r="E140" s="15"/>
      <c r="F140" s="12">
        <f t="shared" si="11"/>
        <v>0</v>
      </c>
      <c r="G140" s="17"/>
      <c r="H140" s="13"/>
      <c r="I140" s="13"/>
      <c r="J140" s="13"/>
      <c r="K140" s="13"/>
      <c r="L140" s="15"/>
      <c r="M140" s="15"/>
      <c r="N140" s="16">
        <f t="shared" si="0"/>
        <v>0</v>
      </c>
      <c r="O140" s="17"/>
      <c r="P140" s="13"/>
      <c r="Q140" s="15"/>
      <c r="R140" s="16">
        <f t="shared" si="1"/>
        <v>0</v>
      </c>
      <c r="S140" s="16">
        <f t="shared" si="2"/>
        <v>0</v>
      </c>
      <c r="T140" s="18">
        <f t="shared" si="3"/>
        <v>0</v>
      </c>
    </row>
    <row r="141" spans="1:20" ht="15.75" customHeight="1" x14ac:dyDescent="0.35">
      <c r="A141" s="27"/>
      <c r="B141" s="19"/>
      <c r="C141" s="25"/>
      <c r="D141" s="22"/>
      <c r="E141" s="24"/>
      <c r="F141" s="4">
        <f t="shared" si="11"/>
        <v>0</v>
      </c>
      <c r="G141" s="25"/>
      <c r="H141" s="22"/>
      <c r="I141" s="22"/>
      <c r="J141" s="22"/>
      <c r="K141" s="22"/>
      <c r="L141" s="24"/>
      <c r="M141" s="24"/>
      <c r="N141" s="8">
        <f t="shared" si="0"/>
        <v>0</v>
      </c>
      <c r="O141" s="25"/>
      <c r="P141" s="22"/>
      <c r="Q141" s="24"/>
      <c r="R141" s="8">
        <f t="shared" si="1"/>
        <v>0</v>
      </c>
      <c r="S141" s="8">
        <f t="shared" si="2"/>
        <v>0</v>
      </c>
      <c r="T141" s="10">
        <f t="shared" si="3"/>
        <v>0</v>
      </c>
    </row>
    <row r="142" spans="1:20" ht="15.75" customHeight="1" thickBot="1" x14ac:dyDescent="0.4">
      <c r="A142" s="26"/>
      <c r="B142" s="61"/>
      <c r="C142" s="17"/>
      <c r="D142" s="13"/>
      <c r="E142" s="15"/>
      <c r="F142" s="12">
        <f t="shared" si="11"/>
        <v>0</v>
      </c>
      <c r="G142" s="17"/>
      <c r="H142" s="13"/>
      <c r="I142" s="13"/>
      <c r="J142" s="13"/>
      <c r="K142" s="13"/>
      <c r="L142" s="15"/>
      <c r="M142" s="15"/>
      <c r="N142" s="16">
        <f t="shared" si="0"/>
        <v>0</v>
      </c>
      <c r="O142" s="17"/>
      <c r="P142" s="13"/>
      <c r="Q142" s="15"/>
      <c r="R142" s="16">
        <f t="shared" si="1"/>
        <v>0</v>
      </c>
      <c r="S142" s="16">
        <f t="shared" si="2"/>
        <v>0</v>
      </c>
      <c r="T142" s="18">
        <f t="shared" si="3"/>
        <v>0</v>
      </c>
    </row>
    <row r="143" spans="1:20" ht="15.75" customHeight="1" x14ac:dyDescent="0.35">
      <c r="A143" s="27"/>
      <c r="B143" s="19"/>
      <c r="C143" s="25"/>
      <c r="D143" s="22"/>
      <c r="E143" s="24"/>
      <c r="F143" s="4">
        <f t="shared" si="11"/>
        <v>0</v>
      </c>
      <c r="G143" s="25"/>
      <c r="H143" s="22"/>
      <c r="I143" s="22"/>
      <c r="J143" s="22"/>
      <c r="K143" s="22"/>
      <c r="L143" s="24"/>
      <c r="M143" s="24"/>
      <c r="N143" s="8">
        <f t="shared" si="0"/>
        <v>0</v>
      </c>
      <c r="O143" s="25"/>
      <c r="P143" s="22"/>
      <c r="Q143" s="24"/>
      <c r="R143" s="8">
        <f t="shared" si="1"/>
        <v>0</v>
      </c>
      <c r="S143" s="8">
        <f t="shared" si="2"/>
        <v>0</v>
      </c>
      <c r="T143" s="10">
        <f t="shared" si="3"/>
        <v>0</v>
      </c>
    </row>
    <row r="144" spans="1:20" ht="15.75" customHeight="1" thickBot="1" x14ac:dyDescent="0.4">
      <c r="A144" s="26"/>
      <c r="B144" s="61"/>
      <c r="C144" s="17"/>
      <c r="D144" s="13"/>
      <c r="E144" s="15"/>
      <c r="F144" s="12">
        <f t="shared" si="11"/>
        <v>0</v>
      </c>
      <c r="G144" s="17"/>
      <c r="H144" s="13"/>
      <c r="I144" s="13"/>
      <c r="J144" s="13"/>
      <c r="K144" s="13"/>
      <c r="L144" s="15"/>
      <c r="M144" s="15"/>
      <c r="N144" s="16">
        <f t="shared" si="0"/>
        <v>0</v>
      </c>
      <c r="O144" s="17"/>
      <c r="P144" s="13"/>
      <c r="Q144" s="15"/>
      <c r="R144" s="16">
        <f t="shared" si="1"/>
        <v>0</v>
      </c>
      <c r="S144" s="16">
        <f t="shared" si="2"/>
        <v>0</v>
      </c>
      <c r="T144" s="18">
        <f t="shared" si="3"/>
        <v>0</v>
      </c>
    </row>
    <row r="145" spans="1:20" ht="15.75" customHeight="1" x14ac:dyDescent="0.35">
      <c r="A145" s="27"/>
      <c r="B145" s="19"/>
      <c r="C145" s="25"/>
      <c r="D145" s="22"/>
      <c r="E145" s="24"/>
      <c r="F145" s="4">
        <f t="shared" si="11"/>
        <v>0</v>
      </c>
      <c r="G145" s="25"/>
      <c r="H145" s="22"/>
      <c r="I145" s="22"/>
      <c r="J145" s="22"/>
      <c r="K145" s="22"/>
      <c r="L145" s="24"/>
      <c r="M145" s="24"/>
      <c r="N145" s="8">
        <f t="shared" si="0"/>
        <v>0</v>
      </c>
      <c r="O145" s="25"/>
      <c r="P145" s="22"/>
      <c r="Q145" s="24"/>
      <c r="R145" s="8">
        <f t="shared" si="1"/>
        <v>0</v>
      </c>
      <c r="S145" s="8">
        <f t="shared" si="2"/>
        <v>0</v>
      </c>
      <c r="T145" s="10">
        <f t="shared" si="3"/>
        <v>0</v>
      </c>
    </row>
    <row r="146" spans="1:20" ht="15.75" customHeight="1" thickBot="1" x14ac:dyDescent="0.4">
      <c r="A146" s="26"/>
      <c r="B146" s="61"/>
      <c r="C146" s="17"/>
      <c r="D146" s="13"/>
      <c r="E146" s="15"/>
      <c r="F146" s="12">
        <f t="shared" si="11"/>
        <v>0</v>
      </c>
      <c r="G146" s="17"/>
      <c r="H146" s="13"/>
      <c r="I146" s="13"/>
      <c r="J146" s="13"/>
      <c r="K146" s="13"/>
      <c r="L146" s="15"/>
      <c r="M146" s="15"/>
      <c r="N146" s="16">
        <f t="shared" si="0"/>
        <v>0</v>
      </c>
      <c r="O146" s="17"/>
      <c r="P146" s="13"/>
      <c r="Q146" s="15"/>
      <c r="R146" s="16">
        <f t="shared" si="1"/>
        <v>0</v>
      </c>
      <c r="S146" s="16">
        <f t="shared" si="2"/>
        <v>0</v>
      </c>
      <c r="T146" s="18">
        <f t="shared" si="3"/>
        <v>0</v>
      </c>
    </row>
    <row r="147" spans="1:20" ht="15.75" customHeight="1" x14ac:dyDescent="0.35">
      <c r="A147" s="27"/>
      <c r="B147" s="19"/>
      <c r="C147" s="25"/>
      <c r="D147" s="22"/>
      <c r="E147" s="24"/>
      <c r="F147" s="4">
        <f t="shared" si="11"/>
        <v>0</v>
      </c>
      <c r="G147" s="25"/>
      <c r="H147" s="22"/>
      <c r="I147" s="22"/>
      <c r="J147" s="22"/>
      <c r="K147" s="22"/>
      <c r="L147" s="24"/>
      <c r="M147" s="24"/>
      <c r="N147" s="8">
        <f t="shared" si="0"/>
        <v>0</v>
      </c>
      <c r="O147" s="25"/>
      <c r="P147" s="22"/>
      <c r="Q147" s="24"/>
      <c r="R147" s="8">
        <f t="shared" si="1"/>
        <v>0</v>
      </c>
      <c r="S147" s="8">
        <f t="shared" si="2"/>
        <v>0</v>
      </c>
      <c r="T147" s="10">
        <f t="shared" si="3"/>
        <v>0</v>
      </c>
    </row>
    <row r="148" spans="1:20" ht="15.75" customHeight="1" thickBot="1" x14ac:dyDescent="0.4">
      <c r="A148" s="26"/>
      <c r="B148" s="61"/>
      <c r="C148" s="17"/>
      <c r="D148" s="13"/>
      <c r="E148" s="15"/>
      <c r="F148" s="12">
        <f t="shared" si="11"/>
        <v>0</v>
      </c>
      <c r="G148" s="17"/>
      <c r="H148" s="13"/>
      <c r="I148" s="13"/>
      <c r="J148" s="13"/>
      <c r="K148" s="13"/>
      <c r="L148" s="15"/>
      <c r="M148" s="15"/>
      <c r="N148" s="16">
        <f t="shared" si="0"/>
        <v>0</v>
      </c>
      <c r="O148" s="17"/>
      <c r="P148" s="13"/>
      <c r="Q148" s="15"/>
      <c r="R148" s="16">
        <f t="shared" si="1"/>
        <v>0</v>
      </c>
      <c r="S148" s="16">
        <f t="shared" si="2"/>
        <v>0</v>
      </c>
      <c r="T148" s="18">
        <f t="shared" si="3"/>
        <v>0</v>
      </c>
    </row>
    <row r="149" spans="1:20" ht="15.75" customHeight="1" x14ac:dyDescent="0.35">
      <c r="A149" s="27"/>
      <c r="B149" s="19"/>
      <c r="C149" s="25"/>
      <c r="D149" s="22"/>
      <c r="E149" s="24"/>
      <c r="F149" s="4">
        <f t="shared" si="11"/>
        <v>0</v>
      </c>
      <c r="G149" s="25"/>
      <c r="H149" s="22"/>
      <c r="I149" s="22"/>
      <c r="J149" s="22"/>
      <c r="K149" s="22"/>
      <c r="L149" s="24"/>
      <c r="M149" s="24"/>
      <c r="N149" s="8">
        <f t="shared" si="0"/>
        <v>0</v>
      </c>
      <c r="O149" s="25"/>
      <c r="P149" s="22"/>
      <c r="Q149" s="24"/>
      <c r="R149" s="8">
        <f t="shared" si="1"/>
        <v>0</v>
      </c>
      <c r="S149" s="8">
        <f t="shared" si="2"/>
        <v>0</v>
      </c>
      <c r="T149" s="10">
        <f t="shared" si="3"/>
        <v>0</v>
      </c>
    </row>
    <row r="150" spans="1:20" ht="15.75" customHeight="1" thickBot="1" x14ac:dyDescent="0.4">
      <c r="A150" s="26"/>
      <c r="B150" s="61"/>
      <c r="C150" s="17"/>
      <c r="D150" s="13"/>
      <c r="E150" s="15"/>
      <c r="F150" s="12">
        <f t="shared" si="11"/>
        <v>0</v>
      </c>
      <c r="G150" s="17"/>
      <c r="H150" s="13"/>
      <c r="I150" s="13"/>
      <c r="J150" s="13"/>
      <c r="K150" s="13"/>
      <c r="L150" s="15"/>
      <c r="M150" s="15"/>
      <c r="N150" s="16">
        <f t="shared" si="0"/>
        <v>0</v>
      </c>
      <c r="O150" s="17"/>
      <c r="P150" s="13"/>
      <c r="Q150" s="15"/>
      <c r="R150" s="16">
        <f t="shared" si="1"/>
        <v>0</v>
      </c>
      <c r="S150" s="16">
        <f t="shared" si="2"/>
        <v>0</v>
      </c>
      <c r="T150" s="18">
        <f t="shared" si="3"/>
        <v>0</v>
      </c>
    </row>
    <row r="151" spans="1:20" ht="15.75" customHeight="1" x14ac:dyDescent="0.35">
      <c r="A151" s="27"/>
      <c r="B151" s="19"/>
      <c r="C151" s="25"/>
      <c r="D151" s="22"/>
      <c r="E151" s="24"/>
      <c r="F151" s="4">
        <f t="shared" si="11"/>
        <v>0</v>
      </c>
      <c r="G151" s="25"/>
      <c r="H151" s="22"/>
      <c r="I151" s="22"/>
      <c r="J151" s="22"/>
      <c r="K151" s="22"/>
      <c r="L151" s="24"/>
      <c r="M151" s="24"/>
      <c r="N151" s="8">
        <f t="shared" si="0"/>
        <v>0</v>
      </c>
      <c r="O151" s="25"/>
      <c r="P151" s="22"/>
      <c r="Q151" s="24"/>
      <c r="R151" s="8">
        <f t="shared" si="1"/>
        <v>0</v>
      </c>
      <c r="S151" s="8">
        <f t="shared" si="2"/>
        <v>0</v>
      </c>
      <c r="T151" s="10">
        <f t="shared" si="3"/>
        <v>0</v>
      </c>
    </row>
    <row r="152" spans="1:20" ht="15.75" customHeight="1" thickBot="1" x14ac:dyDescent="0.4">
      <c r="A152" s="26"/>
      <c r="B152" s="61"/>
      <c r="C152" s="17"/>
      <c r="D152" s="13"/>
      <c r="E152" s="15"/>
      <c r="F152" s="12">
        <f t="shared" si="11"/>
        <v>0</v>
      </c>
      <c r="G152" s="17"/>
      <c r="H152" s="13"/>
      <c r="I152" s="13"/>
      <c r="J152" s="13"/>
      <c r="K152" s="13"/>
      <c r="L152" s="15"/>
      <c r="M152" s="15"/>
      <c r="N152" s="16">
        <f t="shared" si="0"/>
        <v>0</v>
      </c>
      <c r="O152" s="17"/>
      <c r="P152" s="13"/>
      <c r="Q152" s="15"/>
      <c r="R152" s="16">
        <f t="shared" si="1"/>
        <v>0</v>
      </c>
      <c r="S152" s="16">
        <f t="shared" si="2"/>
        <v>0</v>
      </c>
      <c r="T152" s="18">
        <f t="shared" si="3"/>
        <v>0</v>
      </c>
    </row>
    <row r="153" spans="1:20" ht="15.75" customHeight="1" x14ac:dyDescent="0.35">
      <c r="A153" s="27"/>
      <c r="B153" s="19"/>
      <c r="C153" s="25"/>
      <c r="D153" s="22"/>
      <c r="E153" s="24"/>
      <c r="F153" s="4">
        <f t="shared" si="11"/>
        <v>0</v>
      </c>
      <c r="G153" s="25"/>
      <c r="H153" s="22"/>
      <c r="I153" s="22"/>
      <c r="J153" s="22"/>
      <c r="K153" s="22"/>
      <c r="L153" s="24"/>
      <c r="M153" s="24"/>
      <c r="N153" s="8">
        <f t="shared" si="0"/>
        <v>0</v>
      </c>
      <c r="O153" s="25"/>
      <c r="P153" s="22"/>
      <c r="Q153" s="24"/>
      <c r="R153" s="8">
        <f t="shared" si="1"/>
        <v>0</v>
      </c>
      <c r="S153" s="8">
        <f t="shared" si="2"/>
        <v>0</v>
      </c>
      <c r="T153" s="10">
        <f t="shared" si="3"/>
        <v>0</v>
      </c>
    </row>
    <row r="154" spans="1:20" ht="15.75" customHeight="1" thickBot="1" x14ac:dyDescent="0.4">
      <c r="A154" s="29"/>
      <c r="B154" s="28"/>
      <c r="C154" s="30"/>
      <c r="D154" s="31"/>
      <c r="E154" s="32"/>
      <c r="F154" s="12">
        <f t="shared" si="11"/>
        <v>0</v>
      </c>
      <c r="G154" s="30"/>
      <c r="H154" s="31"/>
      <c r="I154" s="31"/>
      <c r="J154" s="31"/>
      <c r="K154" s="31"/>
      <c r="L154" s="32"/>
      <c r="M154" s="32"/>
      <c r="N154" s="33">
        <f t="shared" si="0"/>
        <v>0</v>
      </c>
      <c r="O154" s="30"/>
      <c r="P154" s="31"/>
      <c r="Q154" s="32"/>
      <c r="R154" s="33">
        <f t="shared" si="1"/>
        <v>0</v>
      </c>
      <c r="S154" s="33">
        <f t="shared" si="2"/>
        <v>0</v>
      </c>
      <c r="T154" s="34">
        <f t="shared" si="3"/>
        <v>0</v>
      </c>
    </row>
  </sheetData>
  <mergeCells count="22">
    <mergeCell ref="E3:E4"/>
    <mergeCell ref="C2:F2"/>
    <mergeCell ref="A1:A4"/>
    <mergeCell ref="C3:C4"/>
    <mergeCell ref="D3:D4"/>
    <mergeCell ref="B1:B4"/>
    <mergeCell ref="G2:N2"/>
    <mergeCell ref="O2:R2"/>
    <mergeCell ref="C1:T1"/>
    <mergeCell ref="R3:R4"/>
    <mergeCell ref="S2:S4"/>
    <mergeCell ref="T2:T4"/>
    <mergeCell ref="P3:P4"/>
    <mergeCell ref="Q3:Q4"/>
    <mergeCell ref="G3:G4"/>
    <mergeCell ref="H3:H4"/>
    <mergeCell ref="F3:F4"/>
    <mergeCell ref="O3:O4"/>
    <mergeCell ref="K3:M3"/>
    <mergeCell ref="N3:N4"/>
    <mergeCell ref="I3:I4"/>
    <mergeCell ref="J3:J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2"/>
  <sheetViews>
    <sheetView rightToLeft="1" zoomScale="74" workbookViewId="0">
      <pane ySplit="2" topLeftCell="A3" activePane="bottomLeft" state="frozen"/>
      <selection pane="bottomLeft" activeCell="L23" sqref="L23"/>
    </sheetView>
  </sheetViews>
  <sheetFormatPr defaultColWidth="14.44140625" defaultRowHeight="15" customHeight="1" x14ac:dyDescent="0.3"/>
  <cols>
    <col min="1" max="1" width="4.33203125" customWidth="1"/>
    <col min="2" max="2" width="18.88671875" customWidth="1"/>
    <col min="3" max="4" width="8.6640625" customWidth="1"/>
    <col min="5" max="5" width="12.109375" customWidth="1"/>
    <col min="6" max="7" width="8.6640625" customWidth="1"/>
    <col min="8" max="8" width="12.109375" customWidth="1"/>
    <col min="9" max="9" width="8.6640625" customWidth="1"/>
    <col min="10" max="10" width="12.44140625" customWidth="1"/>
    <col min="11" max="11" width="11.109375" bestFit="1" customWidth="1"/>
    <col min="12" max="12" width="8.6640625" customWidth="1"/>
  </cols>
  <sheetData>
    <row r="1" spans="1:12" ht="30" customHeight="1" thickBot="1" x14ac:dyDescent="0.35">
      <c r="A1" s="96" t="s">
        <v>60</v>
      </c>
      <c r="B1" s="97"/>
      <c r="C1" s="97"/>
      <c r="D1" s="97"/>
      <c r="E1" s="98"/>
    </row>
    <row r="2" spans="1:12" s="40" customFormat="1" ht="16.2" thickBot="1" x14ac:dyDescent="0.35">
      <c r="A2" s="39" t="s">
        <v>0</v>
      </c>
      <c r="B2" s="39" t="s">
        <v>1</v>
      </c>
      <c r="C2" s="39" t="s">
        <v>50</v>
      </c>
      <c r="D2" s="39" t="s">
        <v>51</v>
      </c>
      <c r="E2" s="39" t="s">
        <v>52</v>
      </c>
      <c r="F2" s="39" t="s">
        <v>53</v>
      </c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39" t="s">
        <v>59</v>
      </c>
    </row>
    <row r="3" spans="1:12" ht="15.6" x14ac:dyDescent="0.3">
      <c r="A3" s="35">
        <v>1</v>
      </c>
      <c r="B3" s="35" t="str">
        <f>Sheet1!A5</f>
        <v>ماريان عماد</v>
      </c>
      <c r="C3" s="36" t="str">
        <f>IF(Sheet1!C5&lt;50,"r","a")</f>
        <v>a</v>
      </c>
      <c r="D3" s="36" t="str">
        <f>IF(Sheet1!G5&lt;20,"r","a")</f>
        <v>a</v>
      </c>
      <c r="E3" s="36" t="str">
        <f>IF(Sheet1!K5&lt;2.5,"r","a")</f>
        <v>a</v>
      </c>
      <c r="F3" s="36" t="str">
        <f>IF(Sheet1!D5&lt;55,"r","a")</f>
        <v>a</v>
      </c>
      <c r="G3" s="36" t="str">
        <f>IF(Sheet1!H5&lt;20,"r","a")</f>
        <v>a</v>
      </c>
      <c r="H3" s="36" t="str">
        <f>IF(Sheet1!L5&lt;2.5,"r","a")</f>
        <v>a</v>
      </c>
      <c r="I3" s="36" t="str">
        <f>IF(Sheet1!E5&lt;45,"r","a")</f>
        <v>a</v>
      </c>
      <c r="J3" s="36" t="str">
        <f>IF(Sheet1!I5&lt;15,"r","a")</f>
        <v>a</v>
      </c>
      <c r="K3" s="36" t="str">
        <f>IF(Sheet1!M5&lt;2.5,"r","a")</f>
        <v>a</v>
      </c>
      <c r="L3" s="36" t="str">
        <f>IF(Sheet1!J5&lt;12.5,"r","a")</f>
        <v>a</v>
      </c>
    </row>
    <row r="4" spans="1:12" ht="15.6" x14ac:dyDescent="0.3">
      <c r="A4" s="37">
        <v>2</v>
      </c>
      <c r="B4" s="37" t="str">
        <f>Sheet1!A6</f>
        <v>كيرلس ايمن كامل</v>
      </c>
      <c r="C4" s="38" t="str">
        <f>IF(Sheet1!C6&lt;50,"r","a")</f>
        <v>a</v>
      </c>
      <c r="D4" s="38" t="str">
        <f>IF(Sheet1!G6&lt;20,"r","a")</f>
        <v>a</v>
      </c>
      <c r="E4" s="38" t="str">
        <f>IF(Sheet1!K6&lt;2.5,"r","a")</f>
        <v>a</v>
      </c>
      <c r="F4" s="38" t="str">
        <f>IF(Sheet1!D6&lt;55,"r","a")</f>
        <v>a</v>
      </c>
      <c r="G4" s="38" t="str">
        <f>IF(Sheet1!H6&lt;20,"r","a")</f>
        <v>a</v>
      </c>
      <c r="H4" s="38" t="str">
        <f>IF(Sheet1!L6&lt;2.5,"r","a")</f>
        <v>a</v>
      </c>
      <c r="I4" s="38" t="str">
        <f>IF(Sheet1!E6&lt;45,"r","a")</f>
        <v>a</v>
      </c>
      <c r="J4" s="38" t="str">
        <f>IF(Sheet1!I6&lt;15,"r","a")</f>
        <v>a</v>
      </c>
      <c r="K4" s="38" t="str">
        <f>IF(Sheet1!M6&lt;2.5,"r","a")</f>
        <v>a</v>
      </c>
      <c r="L4" s="38" t="str">
        <f>IF(Sheet1!J6&lt;12.5,"r","a")</f>
        <v>a</v>
      </c>
    </row>
    <row r="5" spans="1:12" ht="15.6" x14ac:dyDescent="0.3">
      <c r="A5" s="37">
        <v>3</v>
      </c>
      <c r="B5" s="37" t="str">
        <f>Sheet1!A7</f>
        <v>جون رضا</v>
      </c>
      <c r="C5" s="38" t="str">
        <f>IF(Sheet1!C7&lt;50,"r","a")</f>
        <v>a</v>
      </c>
      <c r="D5" s="38" t="str">
        <f>IF(Sheet1!G7&lt;20,"r","a")</f>
        <v>a</v>
      </c>
      <c r="E5" s="38" t="str">
        <f>IF(Sheet1!K7&lt;2.5,"r","a")</f>
        <v>a</v>
      </c>
      <c r="F5" s="38" t="str">
        <f>IF(Sheet1!D7&lt;55,"r","a")</f>
        <v>a</v>
      </c>
      <c r="G5" s="38" t="str">
        <f>IF(Sheet1!H7&lt;20,"r","a")</f>
        <v>a</v>
      </c>
      <c r="H5" s="38" t="str">
        <f>IF(Sheet1!L7&lt;2.5,"r","a")</f>
        <v>a</v>
      </c>
      <c r="I5" s="38" t="str">
        <f>IF(Sheet1!E7&lt;45,"r","a")</f>
        <v>a</v>
      </c>
      <c r="J5" s="38" t="str">
        <f>IF(Sheet1!I7&lt;15,"r","a")</f>
        <v>a</v>
      </c>
      <c r="K5" s="38" t="str">
        <f>IF(Sheet1!M7&lt;2.5,"r","a")</f>
        <v>a</v>
      </c>
      <c r="L5" s="38" t="str">
        <f>IF(Sheet1!J7&lt;12.5,"r","a")</f>
        <v>a</v>
      </c>
    </row>
    <row r="6" spans="1:12" ht="15.6" x14ac:dyDescent="0.3">
      <c r="A6" s="37">
        <v>4</v>
      </c>
      <c r="B6" s="37" t="str">
        <f>Sheet1!A8</f>
        <v>ديفيد ريمون داود</v>
      </c>
      <c r="C6" s="38" t="str">
        <f>IF(Sheet1!C8&lt;50,"r","a")</f>
        <v>a</v>
      </c>
      <c r="D6" s="38" t="str">
        <f>IF(Sheet1!G8&lt;20,"r","a")</f>
        <v>a</v>
      </c>
      <c r="E6" s="38" t="str">
        <f>IF(Sheet1!K8&lt;2.5,"r","a")</f>
        <v>a</v>
      </c>
      <c r="F6" s="38" t="str">
        <f>IF(Sheet1!D8&lt;55,"r","a")</f>
        <v>a</v>
      </c>
      <c r="G6" s="38" t="str">
        <f>IF(Sheet1!H8&lt;20,"r","a")</f>
        <v>a</v>
      </c>
      <c r="H6" s="38" t="str">
        <f>IF(Sheet1!L8&lt;2.5,"r","a")</f>
        <v>a</v>
      </c>
      <c r="I6" s="38" t="str">
        <f>IF(Sheet1!E8&lt;45,"r","a")</f>
        <v>a</v>
      </c>
      <c r="J6" s="38" t="str">
        <f>IF(Sheet1!I8&lt;15,"r","a")</f>
        <v>a</v>
      </c>
      <c r="K6" s="38" t="str">
        <f>IF(Sheet1!M8&lt;2.5,"r","a")</f>
        <v>a</v>
      </c>
      <c r="L6" s="38" t="str">
        <f>IF(Sheet1!J8&lt;12.5,"r","a")</f>
        <v>a</v>
      </c>
    </row>
    <row r="7" spans="1:12" ht="15.6" x14ac:dyDescent="0.3">
      <c r="A7" s="37">
        <v>5</v>
      </c>
      <c r="B7" s="37" t="str">
        <f>Sheet1!A9</f>
        <v>كيرلس طلعت حربي</v>
      </c>
      <c r="C7" s="38" t="str">
        <f>IF(Sheet1!C9&lt;50,"r","a")</f>
        <v>a</v>
      </c>
      <c r="D7" s="38" t="str">
        <f>IF(Sheet1!G9&lt;20,"r","a")</f>
        <v>a</v>
      </c>
      <c r="E7" s="38" t="str">
        <f>IF(Sheet1!K9&lt;2.5,"r","a")</f>
        <v>a</v>
      </c>
      <c r="F7" s="38" t="str">
        <f>IF(Sheet1!D9&lt;55,"r","a")</f>
        <v>a</v>
      </c>
      <c r="G7" s="38" t="str">
        <f>IF(Sheet1!H9&lt;20,"r","a")</f>
        <v>a</v>
      </c>
      <c r="H7" s="38" t="str">
        <f>IF(Sheet1!L9&lt;2.5,"r","a")</f>
        <v>a</v>
      </c>
      <c r="I7" s="38" t="str">
        <f>IF(Sheet1!E9&lt;45,"r","a")</f>
        <v>a</v>
      </c>
      <c r="J7" s="38" t="str">
        <f>IF(Sheet1!I9&lt;15,"r","a")</f>
        <v>a</v>
      </c>
      <c r="K7" s="38" t="str">
        <f>IF(Sheet1!M9&lt;2.5,"r","a")</f>
        <v>a</v>
      </c>
      <c r="L7" s="38" t="str">
        <f>IF(Sheet1!J9&lt;12.5,"r","a")</f>
        <v>a</v>
      </c>
    </row>
    <row r="8" spans="1:12" ht="15.6" x14ac:dyDescent="0.3">
      <c r="A8" s="37">
        <v>6</v>
      </c>
      <c r="B8" s="37" t="str">
        <f>Sheet1!A10</f>
        <v>كيفين رضا حنا رياض</v>
      </c>
      <c r="C8" s="38" t="str">
        <f>IF(Sheet1!C10&lt;50,"r","a")</f>
        <v>a</v>
      </c>
      <c r="D8" s="38" t="str">
        <f>IF(Sheet1!G10&lt;20,"r","a")</f>
        <v>a</v>
      </c>
      <c r="E8" s="38" t="str">
        <f>IF(Sheet1!K10&lt;2.5,"r","a")</f>
        <v>a</v>
      </c>
      <c r="F8" s="38" t="str">
        <f>IF(Sheet1!D10&lt;55,"r","a")</f>
        <v>a</v>
      </c>
      <c r="G8" s="38" t="str">
        <f>IF(Sheet1!H10&lt;20,"r","a")</f>
        <v>a</v>
      </c>
      <c r="H8" s="38" t="str">
        <f>IF(Sheet1!L10&lt;2.5,"r","a")</f>
        <v>a</v>
      </c>
      <c r="I8" s="38" t="str">
        <f>IF(Sheet1!E10&lt;45,"r","a")</f>
        <v>a</v>
      </c>
      <c r="J8" s="38" t="str">
        <f>IF(Sheet1!I10&lt;15,"r","a")</f>
        <v>a</v>
      </c>
      <c r="K8" s="38" t="str">
        <f>IF(Sheet1!M10&lt;2.5,"r","a")</f>
        <v>a</v>
      </c>
      <c r="L8" s="38" t="str">
        <f>IF(Sheet1!J10&lt;12.5,"r","a")</f>
        <v>a</v>
      </c>
    </row>
    <row r="9" spans="1:12" ht="15.6" x14ac:dyDescent="0.3">
      <c r="A9" s="37">
        <v>7</v>
      </c>
      <c r="B9" s="37" t="str">
        <f>Sheet1!A11</f>
        <v>بيشوي  ادم</v>
      </c>
      <c r="C9" s="38" t="str">
        <f>IF(Sheet1!C11&lt;50,"r","a")</f>
        <v>a</v>
      </c>
      <c r="D9" s="38" t="str">
        <f>IF(Sheet1!G11&lt;20,"r","a")</f>
        <v>a</v>
      </c>
      <c r="E9" s="38" t="str">
        <f>IF(Sheet1!K11&lt;2.5,"r","a")</f>
        <v>a</v>
      </c>
      <c r="F9" s="38" t="str">
        <f>IF(Sheet1!D11&lt;55,"r","a")</f>
        <v>a</v>
      </c>
      <c r="G9" s="38" t="str">
        <f>IF(Sheet1!H11&lt;20,"r","a")</f>
        <v>a</v>
      </c>
      <c r="H9" s="38" t="str">
        <f>IF(Sheet1!L11&lt;2.5,"r","a")</f>
        <v>a</v>
      </c>
      <c r="I9" s="38" t="str">
        <f>IF(Sheet1!E11&lt;45,"r","a")</f>
        <v>r</v>
      </c>
      <c r="J9" s="38" t="str">
        <f>IF(Sheet1!I11&lt;15,"r","a")</f>
        <v>a</v>
      </c>
      <c r="K9" s="38" t="str">
        <f>IF(Sheet1!M11&lt;2.5,"r","a")</f>
        <v>a</v>
      </c>
      <c r="L9" s="38" t="str">
        <f>IF(Sheet1!J11&lt;12.5,"r","a")</f>
        <v>a</v>
      </c>
    </row>
    <row r="10" spans="1:12" ht="15.6" x14ac:dyDescent="0.3">
      <c r="A10" s="37">
        <v>8</v>
      </c>
      <c r="B10" s="37" t="str">
        <f>Sheet1!A12</f>
        <v>يوستينا فخري اسحق</v>
      </c>
      <c r="C10" s="38" t="str">
        <f>IF(Sheet1!C12&lt;50,"r","a")</f>
        <v>a</v>
      </c>
      <c r="D10" s="38" t="str">
        <f>IF(Sheet1!G12&lt;20,"r","a")</f>
        <v>a</v>
      </c>
      <c r="E10" s="38" t="str">
        <f>IF(Sheet1!K12&lt;2.5,"r","a")</f>
        <v>a</v>
      </c>
      <c r="F10" s="38" t="str">
        <f>IF(Sheet1!D12&lt;55,"r","a")</f>
        <v>a</v>
      </c>
      <c r="G10" s="38" t="str">
        <f>IF(Sheet1!H12&lt;20,"r","a")</f>
        <v>a</v>
      </c>
      <c r="H10" s="38" t="str">
        <f>IF(Sheet1!L12&lt;2.5,"r","a")</f>
        <v>a</v>
      </c>
      <c r="I10" s="38" t="str">
        <f>IF(Sheet1!E12&lt;45,"r","a")</f>
        <v>a</v>
      </c>
      <c r="J10" s="38" t="str">
        <f>IF(Sheet1!I12&lt;15,"r","a")</f>
        <v>a</v>
      </c>
      <c r="K10" s="38" t="str">
        <f>IF(Sheet1!M12&lt;2.5,"r","a")</f>
        <v>a</v>
      </c>
      <c r="L10" s="38" t="str">
        <f>IF(Sheet1!J12&lt;12.5,"r","a")</f>
        <v>a</v>
      </c>
    </row>
    <row r="11" spans="1:12" ht="15.6" x14ac:dyDescent="0.3">
      <c r="A11" s="37">
        <v>9</v>
      </c>
      <c r="B11" s="37" t="str">
        <f>Sheet1!A13</f>
        <v xml:space="preserve">يوستينا منصور </v>
      </c>
      <c r="C11" s="38" t="str">
        <f>IF(Sheet1!C13&lt;50,"r","a")</f>
        <v>a</v>
      </c>
      <c r="D11" s="38" t="str">
        <f>IF(Sheet1!G13&lt;20,"r","a")</f>
        <v>a</v>
      </c>
      <c r="E11" s="38" t="str">
        <f>IF(Sheet1!K13&lt;2.5,"r","a")</f>
        <v>a</v>
      </c>
      <c r="F11" s="38" t="str">
        <f>IF(Sheet1!D13&lt;55,"r","a")</f>
        <v>a</v>
      </c>
      <c r="G11" s="38" t="str">
        <f>IF(Sheet1!H13&lt;20,"r","a")</f>
        <v>a</v>
      </c>
      <c r="H11" s="38" t="str">
        <f>IF(Sheet1!L13&lt;2.5,"r","a")</f>
        <v>a</v>
      </c>
      <c r="I11" s="38" t="str">
        <f>IF(Sheet1!E13&lt;45,"r","a")</f>
        <v>a</v>
      </c>
      <c r="J11" s="38" t="str">
        <f>IF(Sheet1!I13&lt;15,"r","a")</f>
        <v>a</v>
      </c>
      <c r="K11" s="38" t="str">
        <f>IF(Sheet1!M13&lt;2.5,"r","a")</f>
        <v>a</v>
      </c>
      <c r="L11" s="38" t="str">
        <f>IF(Sheet1!J13&lt;12.5,"r","a")</f>
        <v>a</v>
      </c>
    </row>
    <row r="12" spans="1:12" ht="15.6" x14ac:dyDescent="0.3">
      <c r="A12" s="37">
        <v>10</v>
      </c>
      <c r="B12" s="37" t="str">
        <f>Sheet1!A14</f>
        <v>ابانوب برسوم</v>
      </c>
      <c r="C12" s="38" t="str">
        <f>IF(Sheet1!C14&lt;50,"r","a")</f>
        <v>a</v>
      </c>
      <c r="D12" s="38" t="str">
        <f>IF(Sheet1!G14&lt;20,"r","a")</f>
        <v>a</v>
      </c>
      <c r="E12" s="38" t="str">
        <f>IF(Sheet1!K14&lt;2.5,"r","a")</f>
        <v>a</v>
      </c>
      <c r="F12" s="38" t="str">
        <f>IF(Sheet1!D14&lt;55,"r","a")</f>
        <v>a</v>
      </c>
      <c r="G12" s="38" t="str">
        <f>IF(Sheet1!H14&lt;20,"r","a")</f>
        <v>a</v>
      </c>
      <c r="H12" s="38" t="str">
        <f>IF(Sheet1!L14&lt;2.5,"r","a")</f>
        <v>a</v>
      </c>
      <c r="I12" s="38" t="str">
        <f>IF(Sheet1!E14&lt;45,"r","a")</f>
        <v>a</v>
      </c>
      <c r="J12" s="38" t="str">
        <f>IF(Sheet1!I14&lt;15,"r","a")</f>
        <v>a</v>
      </c>
      <c r="K12" s="38" t="str">
        <f>IF(Sheet1!M14&lt;2.5,"r","a")</f>
        <v>a</v>
      </c>
      <c r="L12" s="38" t="str">
        <f>IF(Sheet1!J14&lt;12.5,"r","a")</f>
        <v>a</v>
      </c>
    </row>
    <row r="13" spans="1:12" ht="15.6" x14ac:dyDescent="0.3">
      <c r="A13" s="37">
        <v>11</v>
      </c>
      <c r="B13" s="37" t="str">
        <f>Sheet1!A15</f>
        <v>بيتر ماجد معوض</v>
      </c>
      <c r="C13" s="38" t="str">
        <f>IF(Sheet1!C15&lt;50,"r","a")</f>
        <v>a</v>
      </c>
      <c r="D13" s="38" t="str">
        <f>IF(Sheet1!G15&lt;20,"r","a")</f>
        <v>a</v>
      </c>
      <c r="E13" s="38" t="str">
        <f>IF(Sheet1!K15&lt;2.5,"r","a")</f>
        <v>a</v>
      </c>
      <c r="F13" s="38" t="str">
        <f>IF(Sheet1!D15&lt;55,"r","a")</f>
        <v>a</v>
      </c>
      <c r="G13" s="38" t="str">
        <f>IF(Sheet1!H15&lt;20,"r","a")</f>
        <v>a</v>
      </c>
      <c r="H13" s="38" t="str">
        <f>IF(Sheet1!L15&lt;2.5,"r","a")</f>
        <v>a</v>
      </c>
      <c r="I13" s="38" t="str">
        <f>IF(Sheet1!E15&lt;45,"r","a")</f>
        <v>a</v>
      </c>
      <c r="J13" s="38" t="str">
        <f>IF(Sheet1!I15&lt;15,"r","a")</f>
        <v>a</v>
      </c>
      <c r="K13" s="38" t="str">
        <f>IF(Sheet1!M15&lt;2.5,"r","a")</f>
        <v>a</v>
      </c>
      <c r="L13" s="38" t="str">
        <f>IF(Sheet1!J15&lt;12.5,"r","a")</f>
        <v>a</v>
      </c>
    </row>
    <row r="14" spans="1:12" ht="15.6" x14ac:dyDescent="0.3">
      <c r="A14" s="37">
        <v>12</v>
      </c>
      <c r="B14" s="37" t="str">
        <f>Sheet1!A16</f>
        <v>دميانه ابراهيم</v>
      </c>
      <c r="C14" s="38" t="str">
        <f>IF(Sheet1!C16&lt;50,"r","a")</f>
        <v>a</v>
      </c>
      <c r="D14" s="38" t="str">
        <f>IF(Sheet1!G16&lt;20,"r","a")</f>
        <v>a</v>
      </c>
      <c r="E14" s="38" t="str">
        <f>IF(Sheet1!K16&lt;2.5,"r","a")</f>
        <v>a</v>
      </c>
      <c r="F14" s="38" t="str">
        <f>IF(Sheet1!D16&lt;55,"r","a")</f>
        <v>a</v>
      </c>
      <c r="G14" s="38" t="str">
        <f>IF(Sheet1!H16&lt;20,"r","a")</f>
        <v>a</v>
      </c>
      <c r="H14" s="38" t="str">
        <f>IF(Sheet1!L16&lt;2.5,"r","a")</f>
        <v>a</v>
      </c>
      <c r="I14" s="38" t="str">
        <f>IF(Sheet1!E16&lt;45,"r","a")</f>
        <v>a</v>
      </c>
      <c r="J14" s="38" t="str">
        <f>IF(Sheet1!I16&lt;15,"r","a")</f>
        <v>a</v>
      </c>
      <c r="K14" s="38" t="str">
        <f>IF(Sheet1!M16&lt;2.5,"r","a")</f>
        <v>a</v>
      </c>
      <c r="L14" s="38" t="str">
        <f>IF(Sheet1!J16&lt;12.5,"r","a")</f>
        <v>a</v>
      </c>
    </row>
    <row r="15" spans="1:12" ht="15.6" x14ac:dyDescent="0.3">
      <c r="A15" s="37">
        <v>13</v>
      </c>
      <c r="B15" s="37" t="str">
        <f>Sheet1!A17</f>
        <v>بيشوي جورج نظير</v>
      </c>
      <c r="C15" s="38" t="str">
        <f>IF(Sheet1!C17&lt;50,"r","a")</f>
        <v>a</v>
      </c>
      <c r="D15" s="38" t="str">
        <f>IF(Sheet1!G17&lt;20,"r","a")</f>
        <v>a</v>
      </c>
      <c r="E15" s="38" t="str">
        <f>IF(Sheet1!K17&lt;2.5,"r","a")</f>
        <v>a</v>
      </c>
      <c r="F15" s="38" t="str">
        <f>IF(Sheet1!D17&lt;55,"r","a")</f>
        <v>a</v>
      </c>
      <c r="G15" s="38" t="str">
        <f>IF(Sheet1!H17&lt;20,"r","a")</f>
        <v>a</v>
      </c>
      <c r="H15" s="38" t="str">
        <f>IF(Sheet1!L17&lt;2.5,"r","a")</f>
        <v>a</v>
      </c>
      <c r="I15" s="38" t="str">
        <f>IF(Sheet1!E17&lt;45,"r","a")</f>
        <v>a</v>
      </c>
      <c r="J15" s="38" t="str">
        <f>IF(Sheet1!I17&lt;15,"r","a")</f>
        <v>a</v>
      </c>
      <c r="K15" s="38" t="str">
        <f>IF(Sheet1!M17&lt;2.5,"r","a")</f>
        <v>a</v>
      </c>
      <c r="L15" s="38" t="str">
        <f>IF(Sheet1!J17&lt;12.5,"r","a")</f>
        <v>a</v>
      </c>
    </row>
    <row r="16" spans="1:12" ht="15.6" x14ac:dyDescent="0.3">
      <c r="A16" s="37">
        <v>14</v>
      </c>
      <c r="B16" s="37" t="str">
        <f>Sheet1!A18</f>
        <v>كيرلس مينا هارون</v>
      </c>
      <c r="C16" s="38" t="str">
        <f>IF(Sheet1!C18&lt;50,"r","a")</f>
        <v>a</v>
      </c>
      <c r="D16" s="38" t="str">
        <f>IF(Sheet1!G18&lt;20,"r","a")</f>
        <v>a</v>
      </c>
      <c r="E16" s="38" t="str">
        <f>IF(Sheet1!K18&lt;2.5,"r","a")</f>
        <v>a</v>
      </c>
      <c r="F16" s="38" t="str">
        <f>IF(Sheet1!D18&lt;55,"r","a")</f>
        <v>a</v>
      </c>
      <c r="G16" s="38" t="str">
        <f>IF(Sheet1!H18&lt;20,"r","a")</f>
        <v>a</v>
      </c>
      <c r="H16" s="38" t="str">
        <f>IF(Sheet1!L18&lt;2.5,"r","a")</f>
        <v>a</v>
      </c>
      <c r="I16" s="38" t="str">
        <f>IF(Sheet1!E18&lt;45,"r","a")</f>
        <v>a</v>
      </c>
      <c r="J16" s="38" t="str">
        <f>IF(Sheet1!I18&lt;15,"r","a")</f>
        <v>a</v>
      </c>
      <c r="K16" s="38" t="str">
        <f>IF(Sheet1!M18&lt;2.5,"r","a")</f>
        <v>a</v>
      </c>
      <c r="L16" s="38" t="str">
        <f>IF(Sheet1!J18&lt;12.5,"r","a")</f>
        <v>a</v>
      </c>
    </row>
    <row r="17" spans="1:12" ht="15.6" x14ac:dyDescent="0.3">
      <c r="A17" s="37">
        <v>15</v>
      </c>
      <c r="B17" s="37" t="str">
        <f>Sheet1!A19</f>
        <v>جوليا ظريف</v>
      </c>
      <c r="C17" s="38" t="str">
        <f>IF(Sheet1!C19&lt;50,"r","a")</f>
        <v>a</v>
      </c>
      <c r="D17" s="38" t="str">
        <f>IF(Sheet1!G19&lt;20,"r","a")</f>
        <v>a</v>
      </c>
      <c r="E17" s="38" t="str">
        <f>IF(Sheet1!K19&lt;2.5,"r","a")</f>
        <v>a</v>
      </c>
      <c r="F17" s="38" t="str">
        <f>IF(Sheet1!D19&lt;55,"r","a")</f>
        <v>a</v>
      </c>
      <c r="G17" s="38" t="str">
        <f>IF(Sheet1!H19&lt;20,"r","a")</f>
        <v>a</v>
      </c>
      <c r="H17" s="38" t="str">
        <f>IF(Sheet1!L19&lt;2.5,"r","a")</f>
        <v>a</v>
      </c>
      <c r="I17" s="38" t="str">
        <f>IF(Sheet1!E19&lt;45,"r","a")</f>
        <v>r</v>
      </c>
      <c r="J17" s="38" t="str">
        <f>IF(Sheet1!I19&lt;15,"r","a")</f>
        <v>a</v>
      </c>
      <c r="K17" s="38" t="str">
        <f>IF(Sheet1!M19&lt;2.5,"r","a")</f>
        <v>a</v>
      </c>
      <c r="L17" s="38" t="str">
        <f>IF(Sheet1!J19&lt;12.5,"r","a")</f>
        <v>a</v>
      </c>
    </row>
    <row r="18" spans="1:12" ht="15.6" x14ac:dyDescent="0.3">
      <c r="A18" s="37">
        <v>16</v>
      </c>
      <c r="B18" s="37" t="str">
        <f>Sheet1!A20</f>
        <v>اسومين مكرم اسعد</v>
      </c>
      <c r="C18" s="38" t="str">
        <f>IF(Sheet1!C20&lt;50,"r","a")</f>
        <v>a</v>
      </c>
      <c r="D18" s="38" t="str">
        <f>IF(Sheet1!G20&lt;20,"r","a")</f>
        <v>a</v>
      </c>
      <c r="E18" s="38" t="str">
        <f>IF(Sheet1!K20&lt;2.5,"r","a")</f>
        <v>a</v>
      </c>
      <c r="F18" s="38" t="str">
        <f>IF(Sheet1!D20&lt;55,"r","a")</f>
        <v>a</v>
      </c>
      <c r="G18" s="38" t="str">
        <f>IF(Sheet1!H20&lt;20,"r","a")</f>
        <v>a</v>
      </c>
      <c r="H18" s="38" t="str">
        <f>IF(Sheet1!L20&lt;2.5,"r","a")</f>
        <v>a</v>
      </c>
      <c r="I18" s="38" t="str">
        <f>IF(Sheet1!E20&lt;45,"r","a")</f>
        <v>a</v>
      </c>
      <c r="J18" s="38" t="str">
        <f>IF(Sheet1!I20&lt;15,"r","a")</f>
        <v>a</v>
      </c>
      <c r="K18" s="38" t="str">
        <f>IF(Sheet1!M20&lt;2.5,"r","a")</f>
        <v>a</v>
      </c>
      <c r="L18" s="38" t="str">
        <f>IF(Sheet1!J20&lt;12.5,"r","a")</f>
        <v>a</v>
      </c>
    </row>
    <row r="19" spans="1:12" ht="15.6" x14ac:dyDescent="0.3">
      <c r="A19" s="37">
        <v>17</v>
      </c>
      <c r="B19" s="37" t="str">
        <f>Sheet1!A21</f>
        <v>انطون ناصر نشأت</v>
      </c>
      <c r="C19" s="38" t="str">
        <f>IF(Sheet1!C21&lt;50,"r","a")</f>
        <v>a</v>
      </c>
      <c r="D19" s="38" t="str">
        <f>IF(Sheet1!G21&lt;20,"r","a")</f>
        <v>a</v>
      </c>
      <c r="E19" s="38" t="str">
        <f>IF(Sheet1!K21&lt;2.5,"r","a")</f>
        <v>a</v>
      </c>
      <c r="F19" s="38" t="str">
        <f>IF(Sheet1!D21&lt;55,"r","a")</f>
        <v>a</v>
      </c>
      <c r="G19" s="38" t="str">
        <f>IF(Sheet1!H21&lt;20,"r","a")</f>
        <v>a</v>
      </c>
      <c r="H19" s="38" t="str">
        <f>IF(Sheet1!L21&lt;2.5,"r","a")</f>
        <v>a</v>
      </c>
      <c r="I19" s="38" t="str">
        <f>IF(Sheet1!E21&lt;45,"r","a")</f>
        <v>r</v>
      </c>
      <c r="J19" s="38" t="str">
        <f>IF(Sheet1!I21&lt;15,"r","a")</f>
        <v>a</v>
      </c>
      <c r="K19" s="38" t="str">
        <f>IF(Sheet1!M21&lt;2.5,"r","a")</f>
        <v>a</v>
      </c>
      <c r="L19" s="38" t="str">
        <f>IF(Sheet1!J21&lt;12.5,"r","a")</f>
        <v>a</v>
      </c>
    </row>
    <row r="20" spans="1:12" ht="15.6" x14ac:dyDescent="0.3">
      <c r="A20" s="37">
        <v>18</v>
      </c>
      <c r="B20" s="37" t="str">
        <f>Sheet1!A22</f>
        <v>ابراهيم الامجد رأفت</v>
      </c>
      <c r="C20" s="38" t="str">
        <f>IF(Sheet1!C22&lt;50,"r","a")</f>
        <v>a</v>
      </c>
      <c r="D20" s="38" t="str">
        <f>IF(Sheet1!G22&lt;20,"r","a")</f>
        <v>a</v>
      </c>
      <c r="E20" s="38" t="str">
        <f>IF(Sheet1!K22&lt;2.5,"r","a")</f>
        <v>a</v>
      </c>
      <c r="F20" s="38" t="str">
        <f>IF(Sheet1!D22&lt;55,"r","a")</f>
        <v>r</v>
      </c>
      <c r="G20" s="38" t="str">
        <f>IF(Sheet1!H22&lt;20,"r","a")</f>
        <v>a</v>
      </c>
      <c r="H20" s="38" t="str">
        <f>IF(Sheet1!L22&lt;2.5,"r","a")</f>
        <v>a</v>
      </c>
      <c r="I20" s="38" t="str">
        <f>IF(Sheet1!E22&lt;45,"r","a")</f>
        <v>a</v>
      </c>
      <c r="J20" s="38" t="str">
        <f>IF(Sheet1!I22&lt;15,"r","a")</f>
        <v>a</v>
      </c>
      <c r="K20" s="38" t="str">
        <f>IF(Sheet1!M22&lt;2.5,"r","a")</f>
        <v>a</v>
      </c>
      <c r="L20" s="38" t="str">
        <f>IF(Sheet1!J22&lt;12.5,"r","a")</f>
        <v>a</v>
      </c>
    </row>
    <row r="21" spans="1:12" ht="15.75" customHeight="1" x14ac:dyDescent="0.3">
      <c r="A21" s="37">
        <v>19</v>
      </c>
      <c r="B21" s="37" t="str">
        <f>Sheet1!A23</f>
        <v>مينا صلاح برسوم</v>
      </c>
      <c r="C21" s="38" t="str">
        <f>IF(Sheet1!C23&lt;50,"r","a")</f>
        <v>a</v>
      </c>
      <c r="D21" s="38" t="str">
        <f>IF(Sheet1!G23&lt;20,"r","a")</f>
        <v>a</v>
      </c>
      <c r="E21" s="38" t="str">
        <f>IF(Sheet1!K23&lt;2.5,"r","a")</f>
        <v>a</v>
      </c>
      <c r="F21" s="38" t="str">
        <f>IF(Sheet1!D23&lt;55,"r","a")</f>
        <v>a</v>
      </c>
      <c r="G21" s="38" t="str">
        <f>IF(Sheet1!H23&lt;20,"r","a")</f>
        <v>a</v>
      </c>
      <c r="H21" s="38" t="str">
        <f>IF(Sheet1!L23&lt;2.5,"r","a")</f>
        <v>a</v>
      </c>
      <c r="I21" s="38" t="str">
        <f>IF(Sheet1!E23&lt;45,"r","a")</f>
        <v>a</v>
      </c>
      <c r="J21" s="38" t="str">
        <f>IF(Sheet1!I23&lt;15,"r","a")</f>
        <v>a</v>
      </c>
      <c r="K21" s="38" t="str">
        <f>IF(Sheet1!M23&lt;2.5,"r","a")</f>
        <v>a</v>
      </c>
      <c r="L21" s="38" t="str">
        <f>IF(Sheet1!J23&lt;12.5,"r","a")</f>
        <v>a</v>
      </c>
    </row>
    <row r="22" spans="1:12" ht="15.75" customHeight="1" x14ac:dyDescent="0.3">
      <c r="A22" s="37">
        <v>20</v>
      </c>
      <c r="B22" s="37" t="str">
        <f>Sheet1!A24</f>
        <v>مريم نعيم لبيب</v>
      </c>
      <c r="C22" s="38" t="str">
        <f>IF(Sheet1!C24&lt;50,"r","a")</f>
        <v>a</v>
      </c>
      <c r="D22" s="38" t="str">
        <f>IF(Sheet1!G24&lt;20,"r","a")</f>
        <v>a</v>
      </c>
      <c r="E22" s="38" t="str">
        <f>IF(Sheet1!K24&lt;2.5,"r","a")</f>
        <v>a</v>
      </c>
      <c r="F22" s="38" t="str">
        <f>IF(Sheet1!D24&lt;55,"r","a")</f>
        <v>a</v>
      </c>
      <c r="G22" s="38" t="str">
        <f>IF(Sheet1!H24&lt;20,"r","a")</f>
        <v>a</v>
      </c>
      <c r="H22" s="38" t="str">
        <f>IF(Sheet1!L24&lt;2.5,"r","a")</f>
        <v>a</v>
      </c>
      <c r="I22" s="38" t="str">
        <f>IF(Sheet1!E24&lt;45,"r","a")</f>
        <v>a</v>
      </c>
      <c r="J22" s="38" t="str">
        <f>IF(Sheet1!I24&lt;15,"r","a")</f>
        <v>a</v>
      </c>
      <c r="K22" s="38" t="str">
        <f>IF(Sheet1!M24&lt;2.5,"r","a")</f>
        <v>a</v>
      </c>
      <c r="L22" s="38" t="str">
        <f>IF(Sheet1!J24&lt;12.5,"r","a")</f>
        <v>a</v>
      </c>
    </row>
    <row r="23" spans="1:12" ht="15.75" customHeight="1" x14ac:dyDescent="0.3">
      <c r="A23" s="37">
        <v>21</v>
      </c>
      <c r="B23" s="37" t="str">
        <f>Sheet1!A25</f>
        <v>فيلوباتير عبدالملاك</v>
      </c>
      <c r="C23" s="38" t="str">
        <f>IF(Sheet1!C25&lt;50,"r","a")</f>
        <v>a</v>
      </c>
      <c r="D23" s="38" t="str">
        <f>IF(Sheet1!G25&lt;20,"r","a")</f>
        <v>a</v>
      </c>
      <c r="E23" s="38" t="str">
        <f>IF(Sheet1!K25&lt;2.5,"r","a")</f>
        <v>a</v>
      </c>
      <c r="F23" s="38" t="str">
        <f>IF(Sheet1!D25&lt;55,"r","a")</f>
        <v>a</v>
      </c>
      <c r="G23" s="38" t="str">
        <f>IF(Sheet1!H25&lt;20,"r","a")</f>
        <v>a</v>
      </c>
      <c r="H23" s="38" t="str">
        <f>IF(Sheet1!L25&lt;2.5,"r","a")</f>
        <v>a</v>
      </c>
      <c r="I23" s="38" t="str">
        <f>IF(Sheet1!E25&lt;45,"r","a")</f>
        <v>r</v>
      </c>
      <c r="J23" s="38" t="str">
        <f>IF(Sheet1!I25&lt;15,"r","a")</f>
        <v>a</v>
      </c>
      <c r="K23" s="38" t="str">
        <f>IF(Sheet1!M25&lt;2.5,"r","a")</f>
        <v>a</v>
      </c>
      <c r="L23" s="38" t="str">
        <f>IF(Sheet1!J25&lt;12.5,"r","a")</f>
        <v>a</v>
      </c>
    </row>
    <row r="24" spans="1:12" ht="15.75" customHeight="1" x14ac:dyDescent="0.3">
      <c r="A24" s="37">
        <v>22</v>
      </c>
      <c r="B24" s="37" t="str">
        <f>Sheet1!A26</f>
        <v>كيرلس نادي</v>
      </c>
      <c r="C24" s="38" t="str">
        <f>IF(Sheet1!C26&lt;50,"r","a")</f>
        <v>a</v>
      </c>
      <c r="D24" s="38" t="str">
        <f>IF(Sheet1!G26&lt;20,"r","a")</f>
        <v>a</v>
      </c>
      <c r="E24" s="38" t="str">
        <f>IF(Sheet1!K26&lt;2.5,"r","a")</f>
        <v>a</v>
      </c>
      <c r="F24" s="38" t="str">
        <f>IF(Sheet1!D26&lt;55,"r","a")</f>
        <v>a</v>
      </c>
      <c r="G24" s="38" t="str">
        <f>IF(Sheet1!H26&lt;20,"r","a")</f>
        <v>a</v>
      </c>
      <c r="H24" s="38" t="str">
        <f>IF(Sheet1!L26&lt;2.5,"r","a")</f>
        <v>a</v>
      </c>
      <c r="I24" s="38" t="str">
        <f>IF(Sheet1!E26&lt;45,"r","a")</f>
        <v>r</v>
      </c>
      <c r="J24" s="38" t="str">
        <f>IF(Sheet1!I26&lt;15,"r","a")</f>
        <v>a</v>
      </c>
      <c r="K24" s="38" t="str">
        <f>IF(Sheet1!M26&lt;2.5,"r","a")</f>
        <v>r</v>
      </c>
      <c r="L24" s="38" t="str">
        <f>IF(Sheet1!J26&lt;12.5,"r","a")</f>
        <v>r</v>
      </c>
    </row>
    <row r="25" spans="1:12" ht="15.75" customHeight="1" x14ac:dyDescent="0.3">
      <c r="A25" s="37">
        <v>23</v>
      </c>
      <c r="B25" s="37" t="str">
        <f>Sheet1!A27</f>
        <v>كاراس جميل ايوب</v>
      </c>
      <c r="C25" s="38" t="str">
        <f>IF(Sheet1!C27&lt;50,"r","a")</f>
        <v>a</v>
      </c>
      <c r="D25" s="38" t="str">
        <f>IF(Sheet1!G27&lt;20,"r","a")</f>
        <v>a</v>
      </c>
      <c r="E25" s="38" t="str">
        <f>IF(Sheet1!K27&lt;2.5,"r","a")</f>
        <v>a</v>
      </c>
      <c r="F25" s="38" t="str">
        <f>IF(Sheet1!D27&lt;55,"r","a")</f>
        <v>a</v>
      </c>
      <c r="G25" s="38" t="str">
        <f>IF(Sheet1!H27&lt;20,"r","a")</f>
        <v>r</v>
      </c>
      <c r="H25" s="38" t="str">
        <f>IF(Sheet1!L27&lt;2.5,"r","a")</f>
        <v>a</v>
      </c>
      <c r="I25" s="38" t="str">
        <f>IF(Sheet1!E27&lt;45,"r","a")</f>
        <v>r</v>
      </c>
      <c r="J25" s="38" t="str">
        <f>IF(Sheet1!I27&lt;15,"r","a")</f>
        <v>a</v>
      </c>
      <c r="K25" s="38" t="str">
        <f>IF(Sheet1!M27&lt;2.5,"r","a")</f>
        <v>a</v>
      </c>
      <c r="L25" s="38" t="str">
        <f>IF(Sheet1!J27&lt;12.5,"r","a")</f>
        <v>r</v>
      </c>
    </row>
    <row r="26" spans="1:12" ht="15.75" customHeight="1" x14ac:dyDescent="0.3">
      <c r="A26" s="37">
        <v>24</v>
      </c>
      <c r="B26" s="37" t="str">
        <f>Sheet1!A28</f>
        <v>يسي عزمي</v>
      </c>
      <c r="C26" s="38" t="str">
        <f>IF(Sheet1!C28&lt;50,"r","a")</f>
        <v>a</v>
      </c>
      <c r="D26" s="38" t="str">
        <f>IF(Sheet1!G28&lt;20,"r","a")</f>
        <v>a</v>
      </c>
      <c r="E26" s="38" t="str">
        <f>IF(Sheet1!K28&lt;2.5,"r","a")</f>
        <v>a</v>
      </c>
      <c r="F26" s="38" t="str">
        <f>IF(Sheet1!D28&lt;55,"r","a")</f>
        <v>a</v>
      </c>
      <c r="G26" s="38" t="str">
        <f>IF(Sheet1!H28&lt;20,"r","a")</f>
        <v>a</v>
      </c>
      <c r="H26" s="38" t="str">
        <f>IF(Sheet1!L28&lt;2.5,"r","a")</f>
        <v>a</v>
      </c>
      <c r="I26" s="38" t="str">
        <f>IF(Sheet1!E28&lt;45,"r","a")</f>
        <v>a</v>
      </c>
      <c r="J26" s="38" t="str">
        <f>IF(Sheet1!I28&lt;15,"r","a")</f>
        <v>a</v>
      </c>
      <c r="K26" s="38" t="str">
        <f>IF(Sheet1!M28&lt;2.5,"r","a")</f>
        <v>a</v>
      </c>
      <c r="L26" s="38" t="str">
        <f>IF(Sheet1!J28&lt;12.5,"r","a")</f>
        <v>a</v>
      </c>
    </row>
    <row r="27" spans="1:12" ht="15.75" customHeight="1" x14ac:dyDescent="0.3">
      <c r="A27" s="37">
        <v>25</v>
      </c>
      <c r="B27" s="37" t="str">
        <f>Sheet1!A29</f>
        <v>ابرام ايهاب</v>
      </c>
      <c r="C27" s="38" t="str">
        <f>IF(Sheet1!C29&lt;50,"r","a")</f>
        <v>a</v>
      </c>
      <c r="D27" s="38" t="str">
        <f>IF(Sheet1!G29&lt;20,"r","a")</f>
        <v>a</v>
      </c>
      <c r="E27" s="38" t="str">
        <f>IF(Sheet1!K29&lt;2.5,"r","a")</f>
        <v>a</v>
      </c>
      <c r="F27" s="38" t="str">
        <f>IF(Sheet1!D29&lt;55,"r","a")</f>
        <v>r</v>
      </c>
      <c r="G27" s="38" t="str">
        <f>IF(Sheet1!H29&lt;20,"r","a")</f>
        <v>r</v>
      </c>
      <c r="H27" s="38" t="str">
        <f>IF(Sheet1!L29&lt;2.5,"r","a")</f>
        <v>a</v>
      </c>
      <c r="I27" s="38" t="str">
        <f>IF(Sheet1!E29&lt;45,"r","a")</f>
        <v>a</v>
      </c>
      <c r="J27" s="38" t="str">
        <f>IF(Sheet1!I29&lt;15,"r","a")</f>
        <v>a</v>
      </c>
      <c r="K27" s="38" t="str">
        <f>IF(Sheet1!M29&lt;2.5,"r","a")</f>
        <v>a</v>
      </c>
      <c r="L27" s="38" t="str">
        <f>IF(Sheet1!J29&lt;12.5,"r","a")</f>
        <v>a</v>
      </c>
    </row>
    <row r="28" spans="1:12" ht="15.75" customHeight="1" x14ac:dyDescent="0.3">
      <c r="A28" s="37">
        <v>26</v>
      </c>
      <c r="B28" s="37" t="str">
        <f>Sheet1!A30</f>
        <v>سوسنة سامح</v>
      </c>
      <c r="C28" s="38" t="str">
        <f>IF(Sheet1!C30&lt;50,"r","a")</f>
        <v>a</v>
      </c>
      <c r="D28" s="38" t="str">
        <f>IF(Sheet1!G30&lt;20,"r","a")</f>
        <v>a</v>
      </c>
      <c r="E28" s="38" t="str">
        <f>IF(Sheet1!K30&lt;2.5,"r","a")</f>
        <v>a</v>
      </c>
      <c r="F28" s="38" t="str">
        <f>IF(Sheet1!D30&lt;55,"r","a")</f>
        <v>a</v>
      </c>
      <c r="G28" s="38" t="str">
        <f>IF(Sheet1!H30&lt;20,"r","a")</f>
        <v>a</v>
      </c>
      <c r="H28" s="38" t="str">
        <f>IF(Sheet1!L30&lt;2.5,"r","a")</f>
        <v>a</v>
      </c>
      <c r="I28" s="38" t="str">
        <f>IF(Sheet1!E30&lt;45,"r","a")</f>
        <v>a</v>
      </c>
      <c r="J28" s="38" t="str">
        <f>IF(Sheet1!I30&lt;15,"r","a")</f>
        <v>a</v>
      </c>
      <c r="K28" s="38" t="str">
        <f>IF(Sheet1!M30&lt;2.5,"r","a")</f>
        <v>a</v>
      </c>
      <c r="L28" s="38" t="str">
        <f>IF(Sheet1!J30&lt;12.5,"r","a")</f>
        <v>a</v>
      </c>
    </row>
    <row r="29" spans="1:12" ht="15.75" customHeight="1" x14ac:dyDescent="0.3">
      <c r="A29" s="37">
        <v>27</v>
      </c>
      <c r="B29" s="37" t="str">
        <f>Sheet1!A31</f>
        <v>اندريه منير</v>
      </c>
      <c r="C29" s="38" t="str">
        <f>IF(Sheet1!C31&lt;50,"r","a")</f>
        <v>r</v>
      </c>
      <c r="D29" s="38" t="str">
        <f>IF(Sheet1!G31&lt;20,"r","a")</f>
        <v>a</v>
      </c>
      <c r="E29" s="38" t="str">
        <f>IF(Sheet1!K31&lt;2.5,"r","a")</f>
        <v>a</v>
      </c>
      <c r="F29" s="38" t="str">
        <f>IF(Sheet1!D31&lt;55,"r","a")</f>
        <v>r</v>
      </c>
      <c r="G29" s="38" t="str">
        <f>IF(Sheet1!H31&lt;20,"r","a")</f>
        <v>r</v>
      </c>
      <c r="H29" s="38" t="str">
        <f>IF(Sheet1!L31&lt;2.5,"r","a")</f>
        <v>r</v>
      </c>
      <c r="I29" s="38" t="str">
        <f>IF(Sheet1!E31&lt;45,"r","a")</f>
        <v>r</v>
      </c>
      <c r="J29" s="38" t="str">
        <f>IF(Sheet1!I31&lt;15,"r","a")</f>
        <v>r</v>
      </c>
      <c r="K29" s="38" t="str">
        <f>IF(Sheet1!M31&lt;2.5,"r","a")</f>
        <v>r</v>
      </c>
      <c r="L29" s="38" t="str">
        <f>IF(Sheet1!J31&lt;12.5,"r","a")</f>
        <v>r</v>
      </c>
    </row>
    <row r="30" spans="1:12" ht="15.75" customHeight="1" x14ac:dyDescent="0.3">
      <c r="A30" s="37">
        <v>28</v>
      </c>
      <c r="B30" s="37" t="str">
        <f>Sheet1!A32</f>
        <v>ميرنا يوسف</v>
      </c>
      <c r="C30" s="38" t="str">
        <f>IF(Sheet1!C32&lt;50,"r","a")</f>
        <v>a</v>
      </c>
      <c r="D30" s="38" t="str">
        <f>IF(Sheet1!G32&lt;20,"r","a")</f>
        <v>a</v>
      </c>
      <c r="E30" s="38" t="str">
        <f>IF(Sheet1!K32&lt;2.5,"r","a")</f>
        <v>r</v>
      </c>
      <c r="F30" s="38" t="str">
        <f>IF(Sheet1!D32&lt;55,"r","a")</f>
        <v>a</v>
      </c>
      <c r="G30" s="38" t="str">
        <f>IF(Sheet1!H32&lt;20,"r","a")</f>
        <v>a</v>
      </c>
      <c r="H30" s="38" t="str">
        <f>IF(Sheet1!L32&lt;2.5,"r","a")</f>
        <v>a</v>
      </c>
      <c r="I30" s="38" t="str">
        <f>IF(Sheet1!E32&lt;45,"r","a")</f>
        <v>a</v>
      </c>
      <c r="J30" s="38" t="str">
        <f>IF(Sheet1!I32&lt;15,"r","a")</f>
        <v>a</v>
      </c>
      <c r="K30" s="38" t="str">
        <f>IF(Sheet1!M32&lt;2.5,"r","a")</f>
        <v>a</v>
      </c>
      <c r="L30" s="38" t="str">
        <f>IF(Sheet1!J32&lt;12.5,"r","a")</f>
        <v>a</v>
      </c>
    </row>
    <row r="31" spans="1:12" ht="15.75" customHeight="1" x14ac:dyDescent="0.3">
      <c r="A31" s="37">
        <v>29</v>
      </c>
      <c r="B31" s="37" t="str">
        <f>Sheet1!A33</f>
        <v>سارة عماد</v>
      </c>
      <c r="C31" s="38" t="str">
        <f>IF(Sheet1!C33&lt;50,"r","a")</f>
        <v>a</v>
      </c>
      <c r="D31" s="38" t="str">
        <f>IF(Sheet1!G33&lt;20,"r","a")</f>
        <v>a</v>
      </c>
      <c r="E31" s="38" t="str">
        <f>IF(Sheet1!K33&lt;2.5,"r","a")</f>
        <v>r</v>
      </c>
      <c r="F31" s="38" t="str">
        <f>IF(Sheet1!D33&lt;55,"r","a")</f>
        <v>a</v>
      </c>
      <c r="G31" s="38" t="str">
        <f>IF(Sheet1!H33&lt;20,"r","a")</f>
        <v>a</v>
      </c>
      <c r="H31" s="38" t="str">
        <f>IF(Sheet1!L33&lt;2.5,"r","a")</f>
        <v>r</v>
      </c>
      <c r="I31" s="38" t="str">
        <f>IF(Sheet1!E33&lt;45,"r","a")</f>
        <v>a</v>
      </c>
      <c r="J31" s="38" t="str">
        <f>IF(Sheet1!I33&lt;15,"r","a")</f>
        <v>a</v>
      </c>
      <c r="K31" s="38" t="str">
        <f>IF(Sheet1!M33&lt;2.5,"r","a")</f>
        <v>r</v>
      </c>
      <c r="L31" s="38" t="str">
        <f>IF(Sheet1!J33&lt;12.5,"r","a")</f>
        <v>a</v>
      </c>
    </row>
    <row r="32" spans="1:12" ht="15.75" customHeight="1" x14ac:dyDescent="0.3">
      <c r="A32" s="37">
        <v>30</v>
      </c>
      <c r="B32" s="37" t="str">
        <f>Sheet1!A34</f>
        <v>مخدوم</v>
      </c>
      <c r="C32" s="38" t="str">
        <f>IF(Sheet1!C34&lt;50,"r","a")</f>
        <v>a</v>
      </c>
      <c r="D32" s="38" t="str">
        <f>IF(Sheet1!G34&lt;20,"r","a")</f>
        <v>a</v>
      </c>
      <c r="E32" s="38" t="str">
        <f>IF(Sheet1!K34&lt;2.5,"r","a")</f>
        <v>r</v>
      </c>
      <c r="F32" s="38" t="str">
        <f>IF(Sheet1!D34&lt;55,"r","a")</f>
        <v>a</v>
      </c>
      <c r="G32" s="38" t="str">
        <f>IF(Sheet1!H34&lt;20,"r","a")</f>
        <v>a</v>
      </c>
      <c r="H32" s="38" t="str">
        <f>IF(Sheet1!L34&lt;2.5,"r","a")</f>
        <v>r</v>
      </c>
      <c r="I32" s="38" t="str">
        <f>IF(Sheet1!E34&lt;45,"r","a")</f>
        <v>a</v>
      </c>
      <c r="J32" s="38" t="str">
        <f>IF(Sheet1!I34&lt;15,"r","a")</f>
        <v>a</v>
      </c>
      <c r="K32" s="38" t="str">
        <f>IF(Sheet1!M34&lt;2.5,"r","a")</f>
        <v>r</v>
      </c>
      <c r="L32" s="38" t="str">
        <f>IF(Sheet1!J34&lt;12.5,"r","a")</f>
        <v>a</v>
      </c>
    </row>
    <row r="33" spans="1:12" ht="15.75" customHeight="1" x14ac:dyDescent="0.3">
      <c r="A33" s="37">
        <v>31</v>
      </c>
      <c r="B33" s="37">
        <f>Sheet1!A35</f>
        <v>0</v>
      </c>
      <c r="C33" s="38" t="str">
        <f>IF(Sheet1!C35&lt;50,"r","a")</f>
        <v>r</v>
      </c>
      <c r="D33" s="38" t="str">
        <f>IF(Sheet1!G35&lt;20,"r","a")</f>
        <v>r</v>
      </c>
      <c r="E33" s="38" t="str">
        <f>IF(Sheet1!K35&lt;2.5,"r","a")</f>
        <v>r</v>
      </c>
      <c r="F33" s="38" t="str">
        <f>IF(Sheet1!D35&lt;55,"r","a")</f>
        <v>r</v>
      </c>
      <c r="G33" s="38" t="str">
        <f>IF(Sheet1!H35&lt;20,"r","a")</f>
        <v>r</v>
      </c>
      <c r="H33" s="38" t="str">
        <f>IF(Sheet1!L35&lt;2.5,"r","a")</f>
        <v>r</v>
      </c>
      <c r="I33" s="38" t="str">
        <f>IF(Sheet1!E35&lt;45,"r","a")</f>
        <v>r</v>
      </c>
      <c r="J33" s="38" t="str">
        <f>IF(Sheet1!I35&lt;15,"r","a")</f>
        <v>r</v>
      </c>
      <c r="K33" s="38" t="str">
        <f>IF(Sheet1!M35&lt;2.5,"r","a")</f>
        <v>r</v>
      </c>
      <c r="L33" s="38" t="str">
        <f>IF(Sheet1!J35&lt;12.5,"r","a")</f>
        <v>r</v>
      </c>
    </row>
    <row r="34" spans="1:12" ht="15.75" customHeight="1" x14ac:dyDescent="0.3">
      <c r="A34" s="37">
        <v>32</v>
      </c>
      <c r="B34" s="37">
        <f>Sheet1!A36</f>
        <v>0</v>
      </c>
      <c r="C34" s="38" t="str">
        <f>IF(Sheet1!C36&lt;50,"r","a")</f>
        <v>r</v>
      </c>
      <c r="D34" s="38" t="str">
        <f>IF(Sheet1!G36&lt;20,"r","a")</f>
        <v>r</v>
      </c>
      <c r="E34" s="38" t="str">
        <f>IF(Sheet1!K36&lt;2.5,"r","a")</f>
        <v>r</v>
      </c>
      <c r="F34" s="38" t="str">
        <f>IF(Sheet1!D36&lt;55,"r","a")</f>
        <v>r</v>
      </c>
      <c r="G34" s="38" t="str">
        <f>IF(Sheet1!H36&lt;20,"r","a")</f>
        <v>r</v>
      </c>
      <c r="H34" s="38" t="str">
        <f>IF(Sheet1!L36&lt;2.5,"r","a")</f>
        <v>r</v>
      </c>
      <c r="I34" s="38" t="str">
        <f>IF(Sheet1!E36&lt;45,"r","a")</f>
        <v>r</v>
      </c>
      <c r="J34" s="38" t="str">
        <f>IF(Sheet1!I36&lt;15,"r","a")</f>
        <v>r</v>
      </c>
      <c r="K34" s="38" t="str">
        <f>IF(Sheet1!M36&lt;2.5,"r","a")</f>
        <v>r</v>
      </c>
      <c r="L34" s="38" t="str">
        <f>IF(Sheet1!J36&lt;12.5,"r","a")</f>
        <v>r</v>
      </c>
    </row>
    <row r="35" spans="1:12" ht="15.75" customHeight="1" x14ac:dyDescent="0.3">
      <c r="A35" s="37">
        <v>33</v>
      </c>
      <c r="B35" s="37">
        <f>Sheet1!A37</f>
        <v>0</v>
      </c>
      <c r="C35" s="38" t="str">
        <f>IF(Sheet1!C37&lt;50,"r","a")</f>
        <v>r</v>
      </c>
      <c r="D35" s="38" t="str">
        <f>IF(Sheet1!G37&lt;20,"r","a")</f>
        <v>r</v>
      </c>
      <c r="E35" s="38" t="str">
        <f>IF(Sheet1!K37&lt;2.5,"r","a")</f>
        <v>r</v>
      </c>
      <c r="F35" s="38" t="str">
        <f>IF(Sheet1!D37&lt;55,"r","a")</f>
        <v>r</v>
      </c>
      <c r="G35" s="38" t="str">
        <f>IF(Sheet1!H37&lt;20,"r","a")</f>
        <v>r</v>
      </c>
      <c r="H35" s="38" t="str">
        <f>IF(Sheet1!L37&lt;2.5,"r","a")</f>
        <v>r</v>
      </c>
      <c r="I35" s="38" t="str">
        <f>IF(Sheet1!E37&lt;45,"r","a")</f>
        <v>r</v>
      </c>
      <c r="J35" s="38" t="str">
        <f>IF(Sheet1!I37&lt;15,"r","a")</f>
        <v>r</v>
      </c>
      <c r="K35" s="38" t="str">
        <f>IF(Sheet1!M37&lt;2.5,"r","a")</f>
        <v>r</v>
      </c>
      <c r="L35" s="38" t="str">
        <f>IF(Sheet1!J37&lt;12.5,"r","a")</f>
        <v>r</v>
      </c>
    </row>
    <row r="36" spans="1:12" ht="15.75" customHeight="1" x14ac:dyDescent="0.3">
      <c r="A36" s="37">
        <v>34</v>
      </c>
      <c r="B36" s="37">
        <f>Sheet1!A38</f>
        <v>0</v>
      </c>
      <c r="C36" s="38" t="str">
        <f>IF(Sheet1!C38&lt;50,"r","a")</f>
        <v>r</v>
      </c>
      <c r="D36" s="38" t="str">
        <f>IF(Sheet1!G38&lt;20,"r","a")</f>
        <v>r</v>
      </c>
      <c r="E36" s="38" t="str">
        <f>IF(Sheet1!K38&lt;2.5,"r","a")</f>
        <v>r</v>
      </c>
      <c r="F36" s="38" t="str">
        <f>IF(Sheet1!D38&lt;55,"r","a")</f>
        <v>r</v>
      </c>
      <c r="G36" s="38" t="str">
        <f>IF(Sheet1!H38&lt;20,"r","a")</f>
        <v>r</v>
      </c>
      <c r="H36" s="38" t="str">
        <f>IF(Sheet1!L38&lt;2.5,"r","a")</f>
        <v>r</v>
      </c>
      <c r="I36" s="38" t="str">
        <f>IF(Sheet1!E38&lt;45,"r","a")</f>
        <v>r</v>
      </c>
      <c r="J36" s="38" t="str">
        <f>IF(Sheet1!I38&lt;15,"r","a")</f>
        <v>r</v>
      </c>
      <c r="K36" s="38" t="str">
        <f>IF(Sheet1!M38&lt;2.5,"r","a")</f>
        <v>r</v>
      </c>
      <c r="L36" s="38" t="str">
        <f>IF(Sheet1!J38&lt;12.5,"r","a")</f>
        <v>r</v>
      </c>
    </row>
    <row r="37" spans="1:12" ht="15.75" customHeight="1" x14ac:dyDescent="0.3">
      <c r="A37" s="37">
        <v>35</v>
      </c>
      <c r="B37" s="37">
        <f>Sheet1!A39</f>
        <v>0</v>
      </c>
      <c r="C37" s="38" t="str">
        <f>IF(Sheet1!C39&lt;50,"r","a")</f>
        <v>r</v>
      </c>
      <c r="D37" s="38" t="str">
        <f>IF(Sheet1!G39&lt;20,"r","a")</f>
        <v>r</v>
      </c>
      <c r="E37" s="38" t="str">
        <f>IF(Sheet1!K39&lt;2.5,"r","a")</f>
        <v>r</v>
      </c>
      <c r="F37" s="38" t="str">
        <f>IF(Sheet1!D39&lt;55,"r","a")</f>
        <v>r</v>
      </c>
      <c r="G37" s="38" t="str">
        <f>IF(Sheet1!H39&lt;20,"r","a")</f>
        <v>r</v>
      </c>
      <c r="H37" s="38" t="str">
        <f>IF(Sheet1!L39&lt;2.5,"r","a")</f>
        <v>r</v>
      </c>
      <c r="I37" s="38" t="str">
        <f>IF(Sheet1!E39&lt;45,"r","a")</f>
        <v>r</v>
      </c>
      <c r="J37" s="38" t="str">
        <f>IF(Sheet1!I39&lt;15,"r","a")</f>
        <v>r</v>
      </c>
      <c r="K37" s="38" t="str">
        <f>IF(Sheet1!M39&lt;2.5,"r","a")</f>
        <v>r</v>
      </c>
      <c r="L37" s="38" t="str">
        <f>IF(Sheet1!J39&lt;12.5,"r","a")</f>
        <v>r</v>
      </c>
    </row>
    <row r="38" spans="1:12" ht="15.75" customHeight="1" x14ac:dyDescent="0.3">
      <c r="A38" s="37">
        <v>36</v>
      </c>
      <c r="B38" s="37">
        <f>Sheet1!A40</f>
        <v>0</v>
      </c>
      <c r="C38" s="38" t="str">
        <f>IF(Sheet1!C40&lt;50,"r","a")</f>
        <v>r</v>
      </c>
      <c r="D38" s="38" t="str">
        <f>IF(Sheet1!G40&lt;20,"r","a")</f>
        <v>r</v>
      </c>
      <c r="E38" s="38" t="str">
        <f>IF(Sheet1!K40&lt;2.5,"r","a")</f>
        <v>r</v>
      </c>
      <c r="F38" s="38" t="str">
        <f>IF(Sheet1!D40&lt;55,"r","a")</f>
        <v>r</v>
      </c>
      <c r="G38" s="38" t="str">
        <f>IF(Sheet1!H40&lt;20,"r","a")</f>
        <v>r</v>
      </c>
      <c r="H38" s="38" t="str">
        <f>IF(Sheet1!L40&lt;2.5,"r","a")</f>
        <v>r</v>
      </c>
      <c r="I38" s="38" t="str">
        <f>IF(Sheet1!E40&lt;45,"r","a")</f>
        <v>r</v>
      </c>
      <c r="J38" s="38" t="str">
        <f>IF(Sheet1!I40&lt;15,"r","a")</f>
        <v>r</v>
      </c>
      <c r="K38" s="38" t="str">
        <f>IF(Sheet1!M40&lt;2.5,"r","a")</f>
        <v>r</v>
      </c>
      <c r="L38" s="38" t="str">
        <f>IF(Sheet1!J40&lt;12.5,"r","a")</f>
        <v>r</v>
      </c>
    </row>
    <row r="39" spans="1:12" ht="15.75" customHeight="1" x14ac:dyDescent="0.3">
      <c r="A39" s="37">
        <v>37</v>
      </c>
      <c r="B39" s="37">
        <f>Sheet1!A41</f>
        <v>0</v>
      </c>
      <c r="C39" s="38" t="str">
        <f>IF(Sheet1!C41&lt;50,"r","a")</f>
        <v>r</v>
      </c>
      <c r="D39" s="38" t="str">
        <f>IF(Sheet1!G41&lt;20,"r","a")</f>
        <v>r</v>
      </c>
      <c r="E39" s="38" t="str">
        <f>IF(Sheet1!K41&lt;2.5,"r","a")</f>
        <v>r</v>
      </c>
      <c r="F39" s="38" t="str">
        <f>IF(Sheet1!D41&lt;55,"r","a")</f>
        <v>r</v>
      </c>
      <c r="G39" s="38" t="str">
        <f>IF(Sheet1!H41&lt;20,"r","a")</f>
        <v>r</v>
      </c>
      <c r="H39" s="38" t="str">
        <f>IF(Sheet1!L41&lt;2.5,"r","a")</f>
        <v>r</v>
      </c>
      <c r="I39" s="38" t="str">
        <f>IF(Sheet1!E41&lt;45,"r","a")</f>
        <v>r</v>
      </c>
      <c r="J39" s="38" t="str">
        <f>IF(Sheet1!I41&lt;15,"r","a")</f>
        <v>r</v>
      </c>
      <c r="K39" s="38" t="str">
        <f>IF(Sheet1!M41&lt;2.5,"r","a")</f>
        <v>r</v>
      </c>
      <c r="L39" s="38" t="str">
        <f>IF(Sheet1!J41&lt;12.5,"r","a")</f>
        <v>r</v>
      </c>
    </row>
    <row r="40" spans="1:12" ht="15.75" customHeight="1" x14ac:dyDescent="0.3">
      <c r="A40" s="37">
        <v>38</v>
      </c>
      <c r="B40" s="37">
        <f>Sheet1!A42</f>
        <v>0</v>
      </c>
      <c r="C40" s="38" t="str">
        <f>IF(Sheet1!C42&lt;50,"r","a")</f>
        <v>r</v>
      </c>
      <c r="D40" s="38" t="str">
        <f>IF(Sheet1!G42&lt;20,"r","a")</f>
        <v>r</v>
      </c>
      <c r="E40" s="38" t="str">
        <f>IF(Sheet1!K42&lt;2.5,"r","a")</f>
        <v>r</v>
      </c>
      <c r="F40" s="38" t="str">
        <f>IF(Sheet1!D42&lt;55,"r","a")</f>
        <v>r</v>
      </c>
      <c r="G40" s="38" t="str">
        <f>IF(Sheet1!H42&lt;20,"r","a")</f>
        <v>r</v>
      </c>
      <c r="H40" s="38" t="str">
        <f>IF(Sheet1!L42&lt;2.5,"r","a")</f>
        <v>r</v>
      </c>
      <c r="I40" s="38" t="str">
        <f>IF(Sheet1!E42&lt;45,"r","a")</f>
        <v>r</v>
      </c>
      <c r="J40" s="38" t="str">
        <f>IF(Sheet1!I42&lt;15,"r","a")</f>
        <v>r</v>
      </c>
      <c r="K40" s="38" t="str">
        <f>IF(Sheet1!M42&lt;2.5,"r","a")</f>
        <v>r</v>
      </c>
      <c r="L40" s="38" t="str">
        <f>IF(Sheet1!J42&lt;12.5,"r","a")</f>
        <v>r</v>
      </c>
    </row>
    <row r="41" spans="1:12" ht="15.75" customHeight="1" x14ac:dyDescent="0.3">
      <c r="A41" s="37">
        <v>39</v>
      </c>
      <c r="B41" s="37">
        <f>Sheet1!A43</f>
        <v>0</v>
      </c>
      <c r="C41" s="38" t="str">
        <f>IF(Sheet1!C43&lt;50,"r","a")</f>
        <v>r</v>
      </c>
      <c r="D41" s="38" t="str">
        <f>IF(Sheet1!G43&lt;20,"r","a")</f>
        <v>r</v>
      </c>
      <c r="E41" s="38" t="str">
        <f>IF(Sheet1!K43&lt;2.5,"r","a")</f>
        <v>r</v>
      </c>
      <c r="F41" s="38" t="str">
        <f>IF(Sheet1!D43&lt;55,"r","a")</f>
        <v>r</v>
      </c>
      <c r="G41" s="38" t="str">
        <f>IF(Sheet1!H43&lt;20,"r","a")</f>
        <v>r</v>
      </c>
      <c r="H41" s="38" t="str">
        <f>IF(Sheet1!L43&lt;2.5,"r","a")</f>
        <v>r</v>
      </c>
      <c r="I41" s="38" t="str">
        <f>IF(Sheet1!E43&lt;45,"r","a")</f>
        <v>r</v>
      </c>
      <c r="J41" s="38" t="str">
        <f>IF(Sheet1!I43&lt;15,"r","a")</f>
        <v>r</v>
      </c>
      <c r="K41" s="38" t="str">
        <f>IF(Sheet1!M43&lt;2.5,"r","a")</f>
        <v>r</v>
      </c>
      <c r="L41" s="38" t="str">
        <f>IF(Sheet1!J43&lt;12.5,"r","a")</f>
        <v>r</v>
      </c>
    </row>
    <row r="42" spans="1:12" ht="15.75" customHeight="1" x14ac:dyDescent="0.3">
      <c r="A42" s="37">
        <v>40</v>
      </c>
      <c r="B42" s="37">
        <f>Sheet1!A44</f>
        <v>0</v>
      </c>
      <c r="C42" s="38" t="str">
        <f>IF(Sheet1!C44&lt;50,"r","a")</f>
        <v>r</v>
      </c>
      <c r="D42" s="38" t="str">
        <f>IF(Sheet1!G44&lt;20,"r","a")</f>
        <v>r</v>
      </c>
      <c r="E42" s="38" t="str">
        <f>IF(Sheet1!K44&lt;2.5,"r","a")</f>
        <v>r</v>
      </c>
      <c r="F42" s="38" t="str">
        <f>IF(Sheet1!D44&lt;55,"r","a")</f>
        <v>r</v>
      </c>
      <c r="G42" s="38" t="str">
        <f>IF(Sheet1!H44&lt;20,"r","a")</f>
        <v>r</v>
      </c>
      <c r="H42" s="38" t="str">
        <f>IF(Sheet1!L44&lt;2.5,"r","a")</f>
        <v>r</v>
      </c>
      <c r="I42" s="38" t="str">
        <f>IF(Sheet1!E44&lt;45,"r","a")</f>
        <v>r</v>
      </c>
      <c r="J42" s="38" t="str">
        <f>IF(Sheet1!I44&lt;15,"r","a")</f>
        <v>r</v>
      </c>
      <c r="K42" s="38" t="str">
        <f>IF(Sheet1!M44&lt;2.5,"r","a")</f>
        <v>r</v>
      </c>
      <c r="L42" s="38" t="str">
        <f>IF(Sheet1!J44&lt;12.5,"r","a")</f>
        <v>r</v>
      </c>
    </row>
    <row r="43" spans="1:12" ht="15.75" customHeight="1" x14ac:dyDescent="0.3">
      <c r="A43" s="37">
        <v>41</v>
      </c>
      <c r="B43" s="37">
        <f>Sheet1!A45</f>
        <v>0</v>
      </c>
      <c r="C43" s="38" t="str">
        <f>IF(Sheet1!C45&lt;50,"r","a")</f>
        <v>r</v>
      </c>
      <c r="D43" s="38" t="str">
        <f>IF(Sheet1!G45&lt;20,"r","a")</f>
        <v>r</v>
      </c>
      <c r="E43" s="38" t="str">
        <f>IF(Sheet1!K45&lt;2.5,"r","a")</f>
        <v>r</v>
      </c>
      <c r="F43" s="38" t="str">
        <f>IF(Sheet1!D45&lt;55,"r","a")</f>
        <v>r</v>
      </c>
      <c r="G43" s="38" t="str">
        <f>IF(Sheet1!H45&lt;20,"r","a")</f>
        <v>r</v>
      </c>
      <c r="H43" s="38" t="str">
        <f>IF(Sheet1!L45&lt;2.5,"r","a")</f>
        <v>r</v>
      </c>
      <c r="I43" s="38" t="str">
        <f>IF(Sheet1!E45&lt;45,"r","a")</f>
        <v>r</v>
      </c>
      <c r="J43" s="38" t="str">
        <f>IF(Sheet1!I45&lt;15,"r","a")</f>
        <v>r</v>
      </c>
      <c r="K43" s="38" t="str">
        <f>IF(Sheet1!M45&lt;2.5,"r","a")</f>
        <v>r</v>
      </c>
      <c r="L43" s="38" t="str">
        <f>IF(Sheet1!J45&lt;12.5,"r","a")</f>
        <v>r</v>
      </c>
    </row>
    <row r="44" spans="1:12" ht="15.75" customHeight="1" x14ac:dyDescent="0.3">
      <c r="A44" s="37">
        <v>42</v>
      </c>
      <c r="B44" s="37">
        <f>Sheet1!A46</f>
        <v>0</v>
      </c>
      <c r="C44" s="38" t="str">
        <f>IF(Sheet1!C46&lt;50,"r","a")</f>
        <v>r</v>
      </c>
      <c r="D44" s="38" t="str">
        <f>IF(Sheet1!G46&lt;20,"r","a")</f>
        <v>r</v>
      </c>
      <c r="E44" s="38" t="str">
        <f>IF(Sheet1!K46&lt;2.5,"r","a")</f>
        <v>r</v>
      </c>
      <c r="F44" s="38" t="str">
        <f>IF(Sheet1!D46&lt;55,"r","a")</f>
        <v>r</v>
      </c>
      <c r="G44" s="38" t="str">
        <f>IF(Sheet1!H46&lt;20,"r","a")</f>
        <v>r</v>
      </c>
      <c r="H44" s="38" t="str">
        <f>IF(Sheet1!L46&lt;2.5,"r","a")</f>
        <v>r</v>
      </c>
      <c r="I44" s="38" t="str">
        <f>IF(Sheet1!E46&lt;45,"r","a")</f>
        <v>r</v>
      </c>
      <c r="J44" s="38" t="str">
        <f>IF(Sheet1!I46&lt;15,"r","a")</f>
        <v>r</v>
      </c>
      <c r="K44" s="38" t="str">
        <f>IF(Sheet1!M46&lt;2.5,"r","a")</f>
        <v>r</v>
      </c>
      <c r="L44" s="38" t="str">
        <f>IF(Sheet1!J46&lt;12.5,"r","a")</f>
        <v>r</v>
      </c>
    </row>
    <row r="45" spans="1:12" ht="15.75" customHeight="1" x14ac:dyDescent="0.3">
      <c r="A45" s="37">
        <v>43</v>
      </c>
      <c r="B45" s="37">
        <f>Sheet1!A47</f>
        <v>0</v>
      </c>
      <c r="C45" s="38" t="str">
        <f>IF(Sheet1!C47&lt;50,"r","a")</f>
        <v>r</v>
      </c>
      <c r="D45" s="38" t="str">
        <f>IF(Sheet1!G47&lt;20,"r","a")</f>
        <v>r</v>
      </c>
      <c r="E45" s="38" t="str">
        <f>IF(Sheet1!K47&lt;2.5,"r","a")</f>
        <v>r</v>
      </c>
      <c r="F45" s="38" t="str">
        <f>IF(Sheet1!D47&lt;55,"r","a")</f>
        <v>r</v>
      </c>
      <c r="G45" s="38" t="str">
        <f>IF(Sheet1!H47&lt;20,"r","a")</f>
        <v>r</v>
      </c>
      <c r="H45" s="38" t="str">
        <f>IF(Sheet1!L47&lt;2.5,"r","a")</f>
        <v>r</v>
      </c>
      <c r="I45" s="38" t="str">
        <f>IF(Sheet1!E47&lt;45,"r","a")</f>
        <v>r</v>
      </c>
      <c r="J45" s="38" t="str">
        <f>IF(Sheet1!I47&lt;15,"r","a")</f>
        <v>r</v>
      </c>
      <c r="K45" s="38" t="str">
        <f>IF(Sheet1!M47&lt;2.5,"r","a")</f>
        <v>r</v>
      </c>
      <c r="L45" s="38" t="str">
        <f>IF(Sheet1!J47&lt;12.5,"r","a")</f>
        <v>r</v>
      </c>
    </row>
    <row r="46" spans="1:12" ht="15.75" customHeight="1" x14ac:dyDescent="0.3">
      <c r="A46" s="37">
        <v>44</v>
      </c>
      <c r="B46" s="37">
        <f>Sheet1!A48</f>
        <v>0</v>
      </c>
      <c r="C46" s="38" t="str">
        <f>IF(Sheet1!C48&lt;50,"r","a")</f>
        <v>r</v>
      </c>
      <c r="D46" s="38" t="str">
        <f>IF(Sheet1!G48&lt;20,"r","a")</f>
        <v>r</v>
      </c>
      <c r="E46" s="38" t="str">
        <f>IF(Sheet1!K48&lt;2.5,"r","a")</f>
        <v>r</v>
      </c>
      <c r="F46" s="38" t="str">
        <f>IF(Sheet1!D48&lt;55,"r","a")</f>
        <v>r</v>
      </c>
      <c r="G46" s="38" t="str">
        <f>IF(Sheet1!H48&lt;20,"r","a")</f>
        <v>r</v>
      </c>
      <c r="H46" s="38" t="str">
        <f>IF(Sheet1!L48&lt;2.5,"r","a")</f>
        <v>r</v>
      </c>
      <c r="I46" s="38" t="str">
        <f>IF(Sheet1!E48&lt;45,"r","a")</f>
        <v>r</v>
      </c>
      <c r="J46" s="38" t="str">
        <f>IF(Sheet1!I48&lt;15,"r","a")</f>
        <v>r</v>
      </c>
      <c r="K46" s="38" t="str">
        <f>IF(Sheet1!M48&lt;2.5,"r","a")</f>
        <v>r</v>
      </c>
      <c r="L46" s="38" t="str">
        <f>IF(Sheet1!J48&lt;12.5,"r","a")</f>
        <v>r</v>
      </c>
    </row>
    <row r="47" spans="1:12" ht="15.75" customHeight="1" x14ac:dyDescent="0.3">
      <c r="A47" s="37">
        <v>45</v>
      </c>
      <c r="B47" s="37">
        <f>Sheet1!A49</f>
        <v>0</v>
      </c>
      <c r="C47" s="38" t="str">
        <f>IF(Sheet1!C49&lt;50,"r","a")</f>
        <v>r</v>
      </c>
      <c r="D47" s="38" t="str">
        <f>IF(Sheet1!G49&lt;20,"r","a")</f>
        <v>r</v>
      </c>
      <c r="E47" s="38" t="str">
        <f>IF(Sheet1!K49&lt;2.5,"r","a")</f>
        <v>r</v>
      </c>
      <c r="F47" s="38" t="str">
        <f>IF(Sheet1!D49&lt;55,"r","a")</f>
        <v>r</v>
      </c>
      <c r="G47" s="38" t="str">
        <f>IF(Sheet1!H49&lt;20,"r","a")</f>
        <v>r</v>
      </c>
      <c r="H47" s="38" t="str">
        <f>IF(Sheet1!L49&lt;2.5,"r","a")</f>
        <v>r</v>
      </c>
      <c r="I47" s="38" t="str">
        <f>IF(Sheet1!E49&lt;45,"r","a")</f>
        <v>r</v>
      </c>
      <c r="J47" s="38" t="str">
        <f>IF(Sheet1!I49&lt;15,"r","a")</f>
        <v>r</v>
      </c>
      <c r="K47" s="38" t="str">
        <f>IF(Sheet1!M49&lt;2.5,"r","a")</f>
        <v>r</v>
      </c>
      <c r="L47" s="38" t="str">
        <f>IF(Sheet1!J49&lt;12.5,"r","a")</f>
        <v>r</v>
      </c>
    </row>
    <row r="48" spans="1:12" ht="15.75" customHeight="1" x14ac:dyDescent="0.3">
      <c r="A48" s="37">
        <v>46</v>
      </c>
      <c r="B48" s="37">
        <f>Sheet1!A50</f>
        <v>0</v>
      </c>
      <c r="C48" s="38" t="str">
        <f>IF(Sheet1!C50&lt;50,"r","a")</f>
        <v>r</v>
      </c>
      <c r="D48" s="38" t="str">
        <f>IF(Sheet1!G50&lt;20,"r","a")</f>
        <v>r</v>
      </c>
      <c r="E48" s="38" t="str">
        <f>IF(Sheet1!K50&lt;2.5,"r","a")</f>
        <v>r</v>
      </c>
      <c r="F48" s="38" t="str">
        <f>IF(Sheet1!D50&lt;55,"r","a")</f>
        <v>r</v>
      </c>
      <c r="G48" s="38" t="str">
        <f>IF(Sheet1!H50&lt;20,"r","a")</f>
        <v>r</v>
      </c>
      <c r="H48" s="38" t="str">
        <f>IF(Sheet1!L50&lt;2.5,"r","a")</f>
        <v>r</v>
      </c>
      <c r="I48" s="38" t="str">
        <f>IF(Sheet1!E50&lt;45,"r","a")</f>
        <v>r</v>
      </c>
      <c r="J48" s="38" t="str">
        <f>IF(Sheet1!I50&lt;15,"r","a")</f>
        <v>r</v>
      </c>
      <c r="K48" s="38" t="str">
        <f>IF(Sheet1!M50&lt;2.5,"r","a")</f>
        <v>r</v>
      </c>
      <c r="L48" s="38" t="str">
        <f>IF(Sheet1!J50&lt;12.5,"r","a")</f>
        <v>r</v>
      </c>
    </row>
    <row r="49" spans="1:12" ht="15.75" customHeight="1" x14ac:dyDescent="0.3">
      <c r="A49" s="37">
        <v>47</v>
      </c>
      <c r="B49" s="37">
        <f>Sheet1!A51</f>
        <v>0</v>
      </c>
      <c r="C49" s="38" t="str">
        <f>IF(Sheet1!C51&lt;50,"r","a")</f>
        <v>r</v>
      </c>
      <c r="D49" s="38" t="str">
        <f>IF(Sheet1!G51&lt;20,"r","a")</f>
        <v>r</v>
      </c>
      <c r="E49" s="38" t="str">
        <f>IF(Sheet1!K51&lt;2.5,"r","a")</f>
        <v>r</v>
      </c>
      <c r="F49" s="38" t="str">
        <f>IF(Sheet1!D51&lt;55,"r","a")</f>
        <v>r</v>
      </c>
      <c r="G49" s="38" t="str">
        <f>IF(Sheet1!H51&lt;20,"r","a")</f>
        <v>r</v>
      </c>
      <c r="H49" s="38" t="str">
        <f>IF(Sheet1!L51&lt;2.5,"r","a")</f>
        <v>r</v>
      </c>
      <c r="I49" s="38" t="str">
        <f>IF(Sheet1!E51&lt;45,"r","a")</f>
        <v>r</v>
      </c>
      <c r="J49" s="38" t="str">
        <f>IF(Sheet1!I51&lt;15,"r","a")</f>
        <v>r</v>
      </c>
      <c r="K49" s="38" t="str">
        <f>IF(Sheet1!M51&lt;2.5,"r","a")</f>
        <v>r</v>
      </c>
      <c r="L49" s="38" t="str">
        <f>IF(Sheet1!J51&lt;12.5,"r","a")</f>
        <v>r</v>
      </c>
    </row>
    <row r="50" spans="1:12" ht="15.75" customHeight="1" x14ac:dyDescent="0.3">
      <c r="A50" s="37">
        <v>48</v>
      </c>
      <c r="B50" s="37">
        <f>Sheet1!A52</f>
        <v>0</v>
      </c>
      <c r="C50" s="38" t="str">
        <f>IF(Sheet1!C52&lt;50,"r","a")</f>
        <v>r</v>
      </c>
      <c r="D50" s="38" t="str">
        <f>IF(Sheet1!G52&lt;20,"r","a")</f>
        <v>r</v>
      </c>
      <c r="E50" s="38" t="str">
        <f>IF(Sheet1!K52&lt;2.5,"r","a")</f>
        <v>r</v>
      </c>
      <c r="F50" s="38" t="str">
        <f>IF(Sheet1!D52&lt;55,"r","a")</f>
        <v>r</v>
      </c>
      <c r="G50" s="38" t="str">
        <f>IF(Sheet1!H52&lt;20,"r","a")</f>
        <v>r</v>
      </c>
      <c r="H50" s="38" t="str">
        <f>IF(Sheet1!L52&lt;2.5,"r","a")</f>
        <v>r</v>
      </c>
      <c r="I50" s="38" t="str">
        <f>IF(Sheet1!E52&lt;45,"r","a")</f>
        <v>r</v>
      </c>
      <c r="J50" s="38" t="str">
        <f>IF(Sheet1!I52&lt;15,"r","a")</f>
        <v>r</v>
      </c>
      <c r="K50" s="38" t="str">
        <f>IF(Sheet1!M52&lt;2.5,"r","a")</f>
        <v>r</v>
      </c>
      <c r="L50" s="38" t="str">
        <f>IF(Sheet1!J52&lt;12.5,"r","a")</f>
        <v>r</v>
      </c>
    </row>
    <row r="51" spans="1:12" ht="15.75" customHeight="1" x14ac:dyDescent="0.3">
      <c r="A51" s="37">
        <v>49</v>
      </c>
      <c r="B51" s="37">
        <f>Sheet1!A53</f>
        <v>0</v>
      </c>
      <c r="C51" s="38" t="str">
        <f>IF(Sheet1!C53&lt;50,"r","a")</f>
        <v>r</v>
      </c>
      <c r="D51" s="38" t="str">
        <f>IF(Sheet1!G53&lt;20,"r","a")</f>
        <v>r</v>
      </c>
      <c r="E51" s="38" t="str">
        <f>IF(Sheet1!K53&lt;2.5,"r","a")</f>
        <v>r</v>
      </c>
      <c r="F51" s="38" t="str">
        <f>IF(Sheet1!D53&lt;55,"r","a")</f>
        <v>r</v>
      </c>
      <c r="G51" s="38" t="str">
        <f>IF(Sheet1!H53&lt;20,"r","a")</f>
        <v>r</v>
      </c>
      <c r="H51" s="38" t="str">
        <f>IF(Sheet1!L53&lt;2.5,"r","a")</f>
        <v>r</v>
      </c>
      <c r="I51" s="38" t="str">
        <f>IF(Sheet1!E53&lt;45,"r","a")</f>
        <v>r</v>
      </c>
      <c r="J51" s="38" t="str">
        <f>IF(Sheet1!I53&lt;15,"r","a")</f>
        <v>r</v>
      </c>
      <c r="K51" s="38" t="str">
        <f>IF(Sheet1!M53&lt;2.5,"r","a")</f>
        <v>r</v>
      </c>
      <c r="L51" s="38" t="str">
        <f>IF(Sheet1!J53&lt;12.5,"r","a")</f>
        <v>r</v>
      </c>
    </row>
    <row r="52" spans="1:12" ht="15.75" customHeight="1" x14ac:dyDescent="0.3">
      <c r="A52" s="37">
        <v>50</v>
      </c>
      <c r="B52" s="37">
        <f>Sheet1!A54</f>
        <v>0</v>
      </c>
      <c r="C52" s="38" t="str">
        <f>IF(Sheet1!C54&lt;50,"r","a")</f>
        <v>r</v>
      </c>
      <c r="D52" s="38" t="str">
        <f>IF(Sheet1!G54&lt;20,"r","a")</f>
        <v>r</v>
      </c>
      <c r="E52" s="38" t="str">
        <f>IF(Sheet1!K54&lt;2.5,"r","a")</f>
        <v>r</v>
      </c>
      <c r="F52" s="38" t="str">
        <f>IF(Sheet1!D54&lt;55,"r","a")</f>
        <v>r</v>
      </c>
      <c r="G52" s="38" t="str">
        <f>IF(Sheet1!H54&lt;20,"r","a")</f>
        <v>r</v>
      </c>
      <c r="H52" s="38" t="str">
        <f>IF(Sheet1!L54&lt;2.5,"r","a")</f>
        <v>r</v>
      </c>
      <c r="I52" s="38" t="str">
        <f>IF(Sheet1!E54&lt;45,"r","a")</f>
        <v>r</v>
      </c>
      <c r="J52" s="38" t="str">
        <f>IF(Sheet1!I54&lt;15,"r","a")</f>
        <v>r</v>
      </c>
      <c r="K52" s="38" t="str">
        <f>IF(Sheet1!M54&lt;2.5,"r","a")</f>
        <v>r</v>
      </c>
      <c r="L52" s="38" t="str">
        <f>IF(Sheet1!J54&lt;12.5,"r","a")</f>
        <v>r</v>
      </c>
    </row>
    <row r="53" spans="1:12" ht="15.75" customHeight="1" x14ac:dyDescent="0.3">
      <c r="A53" s="37">
        <v>51</v>
      </c>
      <c r="B53" s="37">
        <f>Sheet1!A55</f>
        <v>0</v>
      </c>
      <c r="C53" s="38" t="str">
        <f>IF(Sheet1!C55&lt;50,"r","a")</f>
        <v>r</v>
      </c>
      <c r="D53" s="38" t="str">
        <f>IF(Sheet1!G55&lt;20,"r","a")</f>
        <v>r</v>
      </c>
      <c r="E53" s="38" t="str">
        <f>IF(Sheet1!K55&lt;2.5,"r","a")</f>
        <v>r</v>
      </c>
      <c r="F53" s="38" t="str">
        <f>IF(Sheet1!D55&lt;55,"r","a")</f>
        <v>r</v>
      </c>
      <c r="G53" s="38" t="str">
        <f>IF(Sheet1!H55&lt;20,"r","a")</f>
        <v>r</v>
      </c>
      <c r="H53" s="38" t="str">
        <f>IF(Sheet1!L55&lt;2.5,"r","a")</f>
        <v>r</v>
      </c>
      <c r="I53" s="38" t="str">
        <f>IF(Sheet1!E55&lt;45,"r","a")</f>
        <v>r</v>
      </c>
      <c r="J53" s="38" t="str">
        <f>IF(Sheet1!I55&lt;15,"r","a")</f>
        <v>r</v>
      </c>
      <c r="K53" s="38" t="str">
        <f>IF(Sheet1!M55&lt;2.5,"r","a")</f>
        <v>r</v>
      </c>
      <c r="L53" s="38" t="str">
        <f>IF(Sheet1!J55&lt;12.5,"r","a")</f>
        <v>r</v>
      </c>
    </row>
    <row r="54" spans="1:12" ht="15.75" customHeight="1" x14ac:dyDescent="0.3">
      <c r="A54" s="37">
        <v>52</v>
      </c>
      <c r="B54" s="37">
        <f>Sheet1!A56</f>
        <v>0</v>
      </c>
      <c r="C54" s="38" t="str">
        <f>IF(Sheet1!C56&lt;50,"r","a")</f>
        <v>r</v>
      </c>
      <c r="D54" s="38" t="str">
        <f>IF(Sheet1!G56&lt;20,"r","a")</f>
        <v>r</v>
      </c>
      <c r="E54" s="38" t="str">
        <f>IF(Sheet1!K56&lt;2.5,"r","a")</f>
        <v>r</v>
      </c>
      <c r="F54" s="38" t="str">
        <f>IF(Sheet1!D56&lt;55,"r","a")</f>
        <v>r</v>
      </c>
      <c r="G54" s="38" t="str">
        <f>IF(Sheet1!H56&lt;20,"r","a")</f>
        <v>r</v>
      </c>
      <c r="H54" s="38" t="str">
        <f>IF(Sheet1!L56&lt;2.5,"r","a")</f>
        <v>r</v>
      </c>
      <c r="I54" s="38" t="str">
        <f>IF(Sheet1!E56&lt;45,"r","a")</f>
        <v>r</v>
      </c>
      <c r="J54" s="38" t="str">
        <f>IF(Sheet1!I56&lt;15,"r","a")</f>
        <v>r</v>
      </c>
      <c r="K54" s="38" t="str">
        <f>IF(Sheet1!M56&lt;2.5,"r","a")</f>
        <v>r</v>
      </c>
      <c r="L54" s="38" t="str">
        <f>IF(Sheet1!J56&lt;12.5,"r","a")</f>
        <v>r</v>
      </c>
    </row>
    <row r="55" spans="1:12" ht="15.75" customHeight="1" x14ac:dyDescent="0.3">
      <c r="A55" s="37">
        <v>53</v>
      </c>
      <c r="B55" s="37">
        <f>Sheet1!A57</f>
        <v>0</v>
      </c>
      <c r="C55" s="38" t="str">
        <f>IF(Sheet1!C57&lt;50,"r","a")</f>
        <v>r</v>
      </c>
      <c r="D55" s="38" t="str">
        <f>IF(Sheet1!G57&lt;20,"r","a")</f>
        <v>r</v>
      </c>
      <c r="E55" s="38" t="str">
        <f>IF(Sheet1!K57&lt;2.5,"r","a")</f>
        <v>r</v>
      </c>
      <c r="F55" s="38" t="str">
        <f>IF(Sheet1!D57&lt;55,"r","a")</f>
        <v>r</v>
      </c>
      <c r="G55" s="38" t="str">
        <f>IF(Sheet1!H57&lt;20,"r","a")</f>
        <v>r</v>
      </c>
      <c r="H55" s="38" t="str">
        <f>IF(Sheet1!L57&lt;2.5,"r","a")</f>
        <v>r</v>
      </c>
      <c r="I55" s="38" t="str">
        <f>IF(Sheet1!E57&lt;45,"r","a")</f>
        <v>r</v>
      </c>
      <c r="J55" s="38" t="str">
        <f>IF(Sheet1!I57&lt;15,"r","a")</f>
        <v>r</v>
      </c>
      <c r="K55" s="38" t="str">
        <f>IF(Sheet1!M57&lt;2.5,"r","a")</f>
        <v>r</v>
      </c>
      <c r="L55" s="38" t="str">
        <f>IF(Sheet1!J57&lt;12.5,"r","a")</f>
        <v>r</v>
      </c>
    </row>
    <row r="56" spans="1:12" ht="15.75" customHeight="1" x14ac:dyDescent="0.3">
      <c r="A56" s="37">
        <v>54</v>
      </c>
      <c r="B56" s="37">
        <f>Sheet1!A58</f>
        <v>0</v>
      </c>
      <c r="C56" s="38" t="str">
        <f>IF(Sheet1!C58&lt;50,"r","a")</f>
        <v>r</v>
      </c>
      <c r="D56" s="38" t="str">
        <f>IF(Sheet1!G58&lt;20,"r","a")</f>
        <v>r</v>
      </c>
      <c r="E56" s="38" t="str">
        <f>IF(Sheet1!K58&lt;2.5,"r","a")</f>
        <v>r</v>
      </c>
      <c r="F56" s="38" t="str">
        <f>IF(Sheet1!D58&lt;55,"r","a")</f>
        <v>r</v>
      </c>
      <c r="G56" s="38" t="str">
        <f>IF(Sheet1!H58&lt;20,"r","a")</f>
        <v>r</v>
      </c>
      <c r="H56" s="38" t="str">
        <f>IF(Sheet1!L58&lt;2.5,"r","a")</f>
        <v>r</v>
      </c>
      <c r="I56" s="38" t="str">
        <f>IF(Sheet1!E58&lt;45,"r","a")</f>
        <v>r</v>
      </c>
      <c r="J56" s="38" t="str">
        <f>IF(Sheet1!I58&lt;15,"r","a")</f>
        <v>r</v>
      </c>
      <c r="K56" s="38" t="str">
        <f>IF(Sheet1!M58&lt;2.5,"r","a")</f>
        <v>r</v>
      </c>
      <c r="L56" s="38" t="str">
        <f>IF(Sheet1!J58&lt;12.5,"r","a")</f>
        <v>r</v>
      </c>
    </row>
    <row r="57" spans="1:12" ht="15.75" customHeight="1" x14ac:dyDescent="0.3">
      <c r="A57" s="37">
        <v>55</v>
      </c>
      <c r="B57" s="37">
        <f>Sheet1!A59</f>
        <v>0</v>
      </c>
      <c r="C57" s="38" t="str">
        <f>IF(Sheet1!C59&lt;50,"r","a")</f>
        <v>r</v>
      </c>
      <c r="D57" s="38" t="str">
        <f>IF(Sheet1!G59&lt;20,"r","a")</f>
        <v>r</v>
      </c>
      <c r="E57" s="38" t="str">
        <f>IF(Sheet1!K59&lt;2.5,"r","a")</f>
        <v>r</v>
      </c>
      <c r="F57" s="38" t="str">
        <f>IF(Sheet1!D59&lt;55,"r","a")</f>
        <v>r</v>
      </c>
      <c r="G57" s="38" t="str">
        <f>IF(Sheet1!H59&lt;20,"r","a")</f>
        <v>r</v>
      </c>
      <c r="H57" s="38" t="str">
        <f>IF(Sheet1!L59&lt;2.5,"r","a")</f>
        <v>r</v>
      </c>
      <c r="I57" s="38" t="str">
        <f>IF(Sheet1!E59&lt;45,"r","a")</f>
        <v>r</v>
      </c>
      <c r="J57" s="38" t="str">
        <f>IF(Sheet1!I59&lt;15,"r","a")</f>
        <v>r</v>
      </c>
      <c r="K57" s="38" t="str">
        <f>IF(Sheet1!M59&lt;2.5,"r","a")</f>
        <v>r</v>
      </c>
      <c r="L57" s="38" t="str">
        <f>IF(Sheet1!J59&lt;12.5,"r","a")</f>
        <v>r</v>
      </c>
    </row>
    <row r="58" spans="1:12" ht="15.75" customHeight="1" x14ac:dyDescent="0.3">
      <c r="A58" s="37">
        <v>56</v>
      </c>
      <c r="B58" s="37">
        <f>Sheet1!A60</f>
        <v>0</v>
      </c>
      <c r="C58" s="38" t="str">
        <f>IF(Sheet1!C60&lt;50,"r","a")</f>
        <v>r</v>
      </c>
      <c r="D58" s="38" t="str">
        <f>IF(Sheet1!G60&lt;20,"r","a")</f>
        <v>r</v>
      </c>
      <c r="E58" s="38" t="str">
        <f>IF(Sheet1!K60&lt;2.5,"r","a")</f>
        <v>r</v>
      </c>
      <c r="F58" s="38" t="str">
        <f>IF(Sheet1!D60&lt;55,"r","a")</f>
        <v>r</v>
      </c>
      <c r="G58" s="38" t="str">
        <f>IF(Sheet1!H60&lt;20,"r","a")</f>
        <v>r</v>
      </c>
      <c r="H58" s="38" t="str">
        <f>IF(Sheet1!L60&lt;2.5,"r","a")</f>
        <v>r</v>
      </c>
      <c r="I58" s="38" t="str">
        <f>IF(Sheet1!E60&lt;45,"r","a")</f>
        <v>r</v>
      </c>
      <c r="J58" s="38" t="str">
        <f>IF(Sheet1!I60&lt;15,"r","a")</f>
        <v>r</v>
      </c>
      <c r="K58" s="38" t="str">
        <f>IF(Sheet1!M60&lt;2.5,"r","a")</f>
        <v>r</v>
      </c>
      <c r="L58" s="38" t="str">
        <f>IF(Sheet1!J60&lt;12.5,"r","a")</f>
        <v>r</v>
      </c>
    </row>
    <row r="59" spans="1:12" ht="15.75" customHeight="1" x14ac:dyDescent="0.3">
      <c r="A59" s="37">
        <v>57</v>
      </c>
      <c r="B59" s="37">
        <f>Sheet1!A61</f>
        <v>0</v>
      </c>
      <c r="C59" s="38" t="str">
        <f>IF(Sheet1!C61&lt;50,"r","a")</f>
        <v>r</v>
      </c>
      <c r="D59" s="38" t="str">
        <f>IF(Sheet1!G61&lt;20,"r","a")</f>
        <v>r</v>
      </c>
      <c r="E59" s="38" t="str">
        <f>IF(Sheet1!K61&lt;2.5,"r","a")</f>
        <v>r</v>
      </c>
      <c r="F59" s="38" t="str">
        <f>IF(Sheet1!D61&lt;55,"r","a")</f>
        <v>r</v>
      </c>
      <c r="G59" s="38" t="str">
        <f>IF(Sheet1!H61&lt;20,"r","a")</f>
        <v>r</v>
      </c>
      <c r="H59" s="38" t="str">
        <f>IF(Sheet1!L61&lt;2.5,"r","a")</f>
        <v>r</v>
      </c>
      <c r="I59" s="38" t="str">
        <f>IF(Sheet1!E61&lt;45,"r","a")</f>
        <v>r</v>
      </c>
      <c r="J59" s="38" t="str">
        <f>IF(Sheet1!I61&lt;15,"r","a")</f>
        <v>r</v>
      </c>
      <c r="K59" s="38" t="str">
        <f>IF(Sheet1!M61&lt;2.5,"r","a")</f>
        <v>r</v>
      </c>
      <c r="L59" s="38" t="str">
        <f>IF(Sheet1!J61&lt;12.5,"r","a")</f>
        <v>r</v>
      </c>
    </row>
    <row r="60" spans="1:12" ht="15.75" customHeight="1" x14ac:dyDescent="0.3">
      <c r="A60" s="37">
        <v>58</v>
      </c>
      <c r="B60" s="37">
        <f>Sheet1!A62</f>
        <v>0</v>
      </c>
      <c r="C60" s="38" t="str">
        <f>IF(Sheet1!C62&lt;50,"r","a")</f>
        <v>r</v>
      </c>
      <c r="D60" s="38" t="str">
        <f>IF(Sheet1!G62&lt;20,"r","a")</f>
        <v>r</v>
      </c>
      <c r="E60" s="38" t="str">
        <f>IF(Sheet1!K62&lt;2.5,"r","a")</f>
        <v>r</v>
      </c>
      <c r="F60" s="38" t="str">
        <f>IF(Sheet1!D62&lt;55,"r","a")</f>
        <v>r</v>
      </c>
      <c r="G60" s="38" t="str">
        <f>IF(Sheet1!H62&lt;20,"r","a")</f>
        <v>r</v>
      </c>
      <c r="H60" s="38" t="str">
        <f>IF(Sheet1!L62&lt;2.5,"r","a")</f>
        <v>r</v>
      </c>
      <c r="I60" s="38" t="str">
        <f>IF(Sheet1!E62&lt;45,"r","a")</f>
        <v>r</v>
      </c>
      <c r="J60" s="38" t="str">
        <f>IF(Sheet1!I62&lt;15,"r","a")</f>
        <v>r</v>
      </c>
      <c r="K60" s="38" t="str">
        <f>IF(Sheet1!M62&lt;2.5,"r","a")</f>
        <v>r</v>
      </c>
      <c r="L60" s="38" t="str">
        <f>IF(Sheet1!J62&lt;12.5,"r","a")</f>
        <v>r</v>
      </c>
    </row>
    <row r="61" spans="1:12" ht="15.75" customHeight="1" x14ac:dyDescent="0.3">
      <c r="A61" s="37">
        <v>59</v>
      </c>
      <c r="B61" s="37">
        <f>Sheet1!A63</f>
        <v>0</v>
      </c>
      <c r="C61" s="38" t="str">
        <f>IF(Sheet1!C63&lt;50,"r","a")</f>
        <v>r</v>
      </c>
      <c r="D61" s="38" t="str">
        <f>IF(Sheet1!G63&lt;20,"r","a")</f>
        <v>r</v>
      </c>
      <c r="E61" s="38" t="str">
        <f>IF(Sheet1!K63&lt;2.5,"r","a")</f>
        <v>r</v>
      </c>
      <c r="F61" s="38" t="str">
        <f>IF(Sheet1!D63&lt;55,"r","a")</f>
        <v>r</v>
      </c>
      <c r="G61" s="38" t="str">
        <f>IF(Sheet1!H63&lt;20,"r","a")</f>
        <v>r</v>
      </c>
      <c r="H61" s="38" t="str">
        <f>IF(Sheet1!L63&lt;2.5,"r","a")</f>
        <v>r</v>
      </c>
      <c r="I61" s="38" t="str">
        <f>IF(Sheet1!E63&lt;45,"r","a")</f>
        <v>r</v>
      </c>
      <c r="J61" s="38" t="str">
        <f>IF(Sheet1!I63&lt;15,"r","a")</f>
        <v>r</v>
      </c>
      <c r="K61" s="38" t="str">
        <f>IF(Sheet1!M63&lt;2.5,"r","a")</f>
        <v>r</v>
      </c>
      <c r="L61" s="38" t="str">
        <f>IF(Sheet1!J63&lt;12.5,"r","a")</f>
        <v>r</v>
      </c>
    </row>
    <row r="62" spans="1:12" ht="15.75" customHeight="1" x14ac:dyDescent="0.3">
      <c r="A62" s="37">
        <v>60</v>
      </c>
      <c r="B62" s="37">
        <f>Sheet1!A64</f>
        <v>0</v>
      </c>
      <c r="C62" s="38" t="str">
        <f>IF(Sheet1!C64&lt;50,"r","a")</f>
        <v>r</v>
      </c>
      <c r="D62" s="38" t="str">
        <f>IF(Sheet1!G64&lt;20,"r","a")</f>
        <v>r</v>
      </c>
      <c r="E62" s="38" t="str">
        <f>IF(Sheet1!K64&lt;2.5,"r","a")</f>
        <v>r</v>
      </c>
      <c r="F62" s="38" t="str">
        <f>IF(Sheet1!D64&lt;55,"r","a")</f>
        <v>r</v>
      </c>
      <c r="G62" s="38" t="str">
        <f>IF(Sheet1!H64&lt;20,"r","a")</f>
        <v>r</v>
      </c>
      <c r="H62" s="38" t="str">
        <f>IF(Sheet1!L64&lt;2.5,"r","a")</f>
        <v>r</v>
      </c>
      <c r="I62" s="38" t="str">
        <f>IF(Sheet1!E64&lt;45,"r","a")</f>
        <v>r</v>
      </c>
      <c r="J62" s="38" t="str">
        <f>IF(Sheet1!I64&lt;15,"r","a")</f>
        <v>r</v>
      </c>
      <c r="K62" s="38" t="str">
        <f>IF(Sheet1!M64&lt;2.5,"r","a")</f>
        <v>r</v>
      </c>
      <c r="L62" s="38" t="str">
        <f>IF(Sheet1!J64&lt;12.5,"r","a")</f>
        <v>r</v>
      </c>
    </row>
    <row r="63" spans="1:12" ht="15.75" customHeight="1" x14ac:dyDescent="0.3">
      <c r="A63" s="37">
        <v>61</v>
      </c>
      <c r="B63" s="37">
        <f>Sheet1!A65</f>
        <v>0</v>
      </c>
      <c r="C63" s="38" t="str">
        <f>IF(Sheet1!C65&lt;50,"r","a")</f>
        <v>r</v>
      </c>
      <c r="D63" s="38" t="str">
        <f>IF(Sheet1!G65&lt;20,"r","a")</f>
        <v>r</v>
      </c>
      <c r="E63" s="38" t="str">
        <f>IF(Sheet1!K65&lt;2.5,"r","a")</f>
        <v>r</v>
      </c>
      <c r="F63" s="38" t="str">
        <f>IF(Sheet1!D65&lt;55,"r","a")</f>
        <v>r</v>
      </c>
      <c r="G63" s="38" t="str">
        <f>IF(Sheet1!H65&lt;20,"r","a")</f>
        <v>r</v>
      </c>
      <c r="H63" s="38" t="str">
        <f>IF(Sheet1!L65&lt;2.5,"r","a")</f>
        <v>r</v>
      </c>
      <c r="I63" s="38" t="str">
        <f>IF(Sheet1!E65&lt;45,"r","a")</f>
        <v>r</v>
      </c>
      <c r="J63" s="38" t="str">
        <f>IF(Sheet1!I65&lt;15,"r","a")</f>
        <v>r</v>
      </c>
      <c r="K63" s="38" t="str">
        <f>IF(Sheet1!M65&lt;2.5,"r","a")</f>
        <v>r</v>
      </c>
      <c r="L63" s="38" t="str">
        <f>IF(Sheet1!J65&lt;12.5,"r","a")</f>
        <v>r</v>
      </c>
    </row>
    <row r="64" spans="1:12" ht="15.75" customHeight="1" x14ac:dyDescent="0.3">
      <c r="A64" s="37">
        <v>62</v>
      </c>
      <c r="B64" s="37">
        <f>Sheet1!A66</f>
        <v>0</v>
      </c>
      <c r="C64" s="38" t="str">
        <f>IF(Sheet1!C66&lt;50,"r","a")</f>
        <v>r</v>
      </c>
      <c r="D64" s="38" t="str">
        <f>IF(Sheet1!G66&lt;20,"r","a")</f>
        <v>r</v>
      </c>
      <c r="E64" s="38" t="str">
        <f>IF(Sheet1!K66&lt;2.5,"r","a")</f>
        <v>r</v>
      </c>
      <c r="F64" s="38" t="str">
        <f>IF(Sheet1!D66&lt;55,"r","a")</f>
        <v>r</v>
      </c>
      <c r="G64" s="38" t="str">
        <f>IF(Sheet1!H66&lt;20,"r","a")</f>
        <v>r</v>
      </c>
      <c r="H64" s="38" t="str">
        <f>IF(Sheet1!L66&lt;2.5,"r","a")</f>
        <v>r</v>
      </c>
      <c r="I64" s="38" t="str">
        <f>IF(Sheet1!E66&lt;45,"r","a")</f>
        <v>r</v>
      </c>
      <c r="J64" s="38" t="str">
        <f>IF(Sheet1!I66&lt;15,"r","a")</f>
        <v>r</v>
      </c>
      <c r="K64" s="38" t="str">
        <f>IF(Sheet1!M66&lt;2.5,"r","a")</f>
        <v>r</v>
      </c>
      <c r="L64" s="38" t="str">
        <f>IF(Sheet1!J66&lt;12.5,"r","a")</f>
        <v>r</v>
      </c>
    </row>
    <row r="65" spans="1:12" ht="15.75" customHeight="1" x14ac:dyDescent="0.3">
      <c r="A65" s="37">
        <v>63</v>
      </c>
      <c r="B65" s="37">
        <f>Sheet1!A67</f>
        <v>0</v>
      </c>
      <c r="C65" s="38" t="str">
        <f>IF(Sheet1!C67&lt;50,"r","a")</f>
        <v>r</v>
      </c>
      <c r="D65" s="38" t="str">
        <f>IF(Sheet1!G67&lt;20,"r","a")</f>
        <v>r</v>
      </c>
      <c r="E65" s="38" t="str">
        <f>IF(Sheet1!K67&lt;2.5,"r","a")</f>
        <v>r</v>
      </c>
      <c r="F65" s="38" t="str">
        <f>IF(Sheet1!D67&lt;55,"r","a")</f>
        <v>r</v>
      </c>
      <c r="G65" s="38" t="str">
        <f>IF(Sheet1!H67&lt;20,"r","a")</f>
        <v>r</v>
      </c>
      <c r="H65" s="38" t="str">
        <f>IF(Sheet1!L67&lt;2.5,"r","a")</f>
        <v>r</v>
      </c>
      <c r="I65" s="38" t="str">
        <f>IF(Sheet1!E67&lt;45,"r","a")</f>
        <v>r</v>
      </c>
      <c r="J65" s="38" t="str">
        <f>IF(Sheet1!I67&lt;15,"r","a")</f>
        <v>r</v>
      </c>
      <c r="K65" s="38" t="str">
        <f>IF(Sheet1!M67&lt;2.5,"r","a")</f>
        <v>r</v>
      </c>
      <c r="L65" s="38" t="str">
        <f>IF(Sheet1!J67&lt;12.5,"r","a")</f>
        <v>r</v>
      </c>
    </row>
    <row r="66" spans="1:12" ht="15.75" customHeight="1" x14ac:dyDescent="0.3">
      <c r="A66" s="37">
        <v>64</v>
      </c>
      <c r="B66" s="37">
        <f>Sheet1!A68</f>
        <v>0</v>
      </c>
      <c r="C66" s="38" t="str">
        <f>IF(Sheet1!C68&lt;50,"r","a")</f>
        <v>r</v>
      </c>
      <c r="D66" s="38" t="str">
        <f>IF(Sheet1!G68&lt;20,"r","a")</f>
        <v>r</v>
      </c>
      <c r="E66" s="38" t="str">
        <f>IF(Sheet1!K68&lt;2.5,"r","a")</f>
        <v>r</v>
      </c>
      <c r="F66" s="38" t="str">
        <f>IF(Sheet1!D68&lt;55,"r","a")</f>
        <v>r</v>
      </c>
      <c r="G66" s="38" t="str">
        <f>IF(Sheet1!H68&lt;20,"r","a")</f>
        <v>r</v>
      </c>
      <c r="H66" s="38" t="str">
        <f>IF(Sheet1!L68&lt;2.5,"r","a")</f>
        <v>r</v>
      </c>
      <c r="I66" s="38" t="str">
        <f>IF(Sheet1!E68&lt;45,"r","a")</f>
        <v>r</v>
      </c>
      <c r="J66" s="38" t="str">
        <f>IF(Sheet1!I68&lt;15,"r","a")</f>
        <v>r</v>
      </c>
      <c r="K66" s="38" t="str">
        <f>IF(Sheet1!M68&lt;2.5,"r","a")</f>
        <v>r</v>
      </c>
      <c r="L66" s="38" t="str">
        <f>IF(Sheet1!J68&lt;12.5,"r","a")</f>
        <v>r</v>
      </c>
    </row>
    <row r="67" spans="1:12" ht="15.75" customHeight="1" x14ac:dyDescent="0.3">
      <c r="A67" s="37">
        <v>65</v>
      </c>
      <c r="B67" s="37">
        <f>Sheet1!A69</f>
        <v>0</v>
      </c>
      <c r="C67" s="38" t="str">
        <f>IF(Sheet1!C69&lt;50,"r","a")</f>
        <v>r</v>
      </c>
      <c r="D67" s="38" t="str">
        <f>IF(Sheet1!G69&lt;20,"r","a")</f>
        <v>r</v>
      </c>
      <c r="E67" s="38" t="str">
        <f>IF(Sheet1!K69&lt;2.5,"r","a")</f>
        <v>r</v>
      </c>
      <c r="F67" s="38" t="str">
        <f>IF(Sheet1!D69&lt;55,"r","a")</f>
        <v>r</v>
      </c>
      <c r="G67" s="38" t="str">
        <f>IF(Sheet1!H69&lt;20,"r","a")</f>
        <v>r</v>
      </c>
      <c r="H67" s="38" t="str">
        <f>IF(Sheet1!L69&lt;2.5,"r","a")</f>
        <v>r</v>
      </c>
      <c r="I67" s="38" t="str">
        <f>IF(Sheet1!E69&lt;45,"r","a")</f>
        <v>r</v>
      </c>
      <c r="J67" s="38" t="str">
        <f>IF(Sheet1!I69&lt;15,"r","a")</f>
        <v>r</v>
      </c>
      <c r="K67" s="38" t="str">
        <f>IF(Sheet1!M69&lt;2.5,"r","a")</f>
        <v>r</v>
      </c>
      <c r="L67" s="38" t="str">
        <f>IF(Sheet1!J69&lt;12.5,"r","a")</f>
        <v>r</v>
      </c>
    </row>
    <row r="68" spans="1:12" ht="15.75" customHeight="1" x14ac:dyDescent="0.3">
      <c r="A68" s="37">
        <v>66</v>
      </c>
      <c r="B68" s="37">
        <f>Sheet1!A70</f>
        <v>0</v>
      </c>
      <c r="C68" s="38" t="str">
        <f>IF(Sheet1!C70&lt;50,"r","a")</f>
        <v>r</v>
      </c>
      <c r="D68" s="38" t="str">
        <f>IF(Sheet1!G70&lt;20,"r","a")</f>
        <v>r</v>
      </c>
      <c r="E68" s="38" t="str">
        <f>IF(Sheet1!K70&lt;2.5,"r","a")</f>
        <v>r</v>
      </c>
      <c r="F68" s="38" t="str">
        <f>IF(Sheet1!D70&lt;55,"r","a")</f>
        <v>r</v>
      </c>
      <c r="G68" s="38" t="str">
        <f>IF(Sheet1!H70&lt;20,"r","a")</f>
        <v>r</v>
      </c>
      <c r="H68" s="38" t="str">
        <f>IF(Sheet1!L70&lt;2.5,"r","a")</f>
        <v>r</v>
      </c>
      <c r="I68" s="38" t="str">
        <f>IF(Sheet1!E70&lt;45,"r","a")</f>
        <v>r</v>
      </c>
      <c r="J68" s="38" t="str">
        <f>IF(Sheet1!I70&lt;15,"r","a")</f>
        <v>r</v>
      </c>
      <c r="K68" s="38" t="str">
        <f>IF(Sheet1!M70&lt;2.5,"r","a")</f>
        <v>r</v>
      </c>
      <c r="L68" s="38" t="str">
        <f>IF(Sheet1!J70&lt;12.5,"r","a")</f>
        <v>r</v>
      </c>
    </row>
    <row r="69" spans="1:12" ht="15.75" customHeight="1" x14ac:dyDescent="0.3">
      <c r="A69" s="37">
        <v>67</v>
      </c>
      <c r="B69" s="37">
        <f>Sheet1!A71</f>
        <v>0</v>
      </c>
      <c r="C69" s="38" t="str">
        <f>IF(Sheet1!C71&lt;50,"r","a")</f>
        <v>r</v>
      </c>
      <c r="D69" s="38" t="str">
        <f>IF(Sheet1!G71&lt;20,"r","a")</f>
        <v>r</v>
      </c>
      <c r="E69" s="38" t="str">
        <f>IF(Sheet1!K71&lt;2.5,"r","a")</f>
        <v>r</v>
      </c>
      <c r="F69" s="38" t="str">
        <f>IF(Sheet1!D71&lt;55,"r","a")</f>
        <v>r</v>
      </c>
      <c r="G69" s="38" t="str">
        <f>IF(Sheet1!H71&lt;20,"r","a")</f>
        <v>r</v>
      </c>
      <c r="H69" s="38" t="str">
        <f>IF(Sheet1!L71&lt;2.5,"r","a")</f>
        <v>r</v>
      </c>
      <c r="I69" s="38" t="str">
        <f>IF(Sheet1!E71&lt;45,"r","a")</f>
        <v>r</v>
      </c>
      <c r="J69" s="38" t="str">
        <f>IF(Sheet1!I71&lt;15,"r","a")</f>
        <v>r</v>
      </c>
      <c r="K69" s="38" t="str">
        <f>IF(Sheet1!M71&lt;2.5,"r","a")</f>
        <v>r</v>
      </c>
      <c r="L69" s="38" t="str">
        <f>IF(Sheet1!J71&lt;12.5,"r","a")</f>
        <v>r</v>
      </c>
    </row>
    <row r="70" spans="1:12" ht="15.75" customHeight="1" x14ac:dyDescent="0.3">
      <c r="A70" s="37">
        <v>68</v>
      </c>
      <c r="B70" s="37">
        <f>Sheet1!A72</f>
        <v>0</v>
      </c>
      <c r="C70" s="38" t="str">
        <f>IF(Sheet1!C72&lt;50,"r","a")</f>
        <v>r</v>
      </c>
      <c r="D70" s="38" t="str">
        <f>IF(Sheet1!G72&lt;20,"r","a")</f>
        <v>r</v>
      </c>
      <c r="E70" s="38" t="str">
        <f>IF(Sheet1!K72&lt;2.5,"r","a")</f>
        <v>r</v>
      </c>
      <c r="F70" s="38" t="str">
        <f>IF(Sheet1!D72&lt;55,"r","a")</f>
        <v>r</v>
      </c>
      <c r="G70" s="38" t="str">
        <f>IF(Sheet1!H72&lt;20,"r","a")</f>
        <v>r</v>
      </c>
      <c r="H70" s="38" t="str">
        <f>IF(Sheet1!L72&lt;2.5,"r","a")</f>
        <v>r</v>
      </c>
      <c r="I70" s="38" t="str">
        <f>IF(Sheet1!E72&lt;45,"r","a")</f>
        <v>r</v>
      </c>
      <c r="J70" s="38" t="str">
        <f>IF(Sheet1!I72&lt;15,"r","a")</f>
        <v>r</v>
      </c>
      <c r="K70" s="38" t="str">
        <f>IF(Sheet1!M72&lt;2.5,"r","a")</f>
        <v>r</v>
      </c>
      <c r="L70" s="38" t="str">
        <f>IF(Sheet1!J72&lt;12.5,"r","a")</f>
        <v>r</v>
      </c>
    </row>
    <row r="71" spans="1:12" ht="15.75" customHeight="1" x14ac:dyDescent="0.3">
      <c r="A71" s="37">
        <v>69</v>
      </c>
      <c r="B71" s="37">
        <f>Sheet1!A73</f>
        <v>0</v>
      </c>
      <c r="C71" s="38" t="str">
        <f>IF(Sheet1!C73&lt;50,"r","a")</f>
        <v>r</v>
      </c>
      <c r="D71" s="38" t="str">
        <f>IF(Sheet1!G73&lt;20,"r","a")</f>
        <v>r</v>
      </c>
      <c r="E71" s="38" t="str">
        <f>IF(Sheet1!K73&lt;2.5,"r","a")</f>
        <v>r</v>
      </c>
      <c r="F71" s="38" t="str">
        <f>IF(Sheet1!D73&lt;55,"r","a")</f>
        <v>r</v>
      </c>
      <c r="G71" s="38" t="str">
        <f>IF(Sheet1!H73&lt;20,"r","a")</f>
        <v>r</v>
      </c>
      <c r="H71" s="38" t="str">
        <f>IF(Sheet1!L73&lt;2.5,"r","a")</f>
        <v>r</v>
      </c>
      <c r="I71" s="38" t="str">
        <f>IF(Sheet1!E73&lt;45,"r","a")</f>
        <v>r</v>
      </c>
      <c r="J71" s="38" t="str">
        <f>IF(Sheet1!I73&lt;15,"r","a")</f>
        <v>r</v>
      </c>
      <c r="K71" s="38" t="str">
        <f>IF(Sheet1!M73&lt;2.5,"r","a")</f>
        <v>r</v>
      </c>
      <c r="L71" s="38" t="str">
        <f>IF(Sheet1!J73&lt;12.5,"r","a")</f>
        <v>r</v>
      </c>
    </row>
    <row r="72" spans="1:12" ht="15.75" customHeight="1" x14ac:dyDescent="0.3">
      <c r="A72" s="37">
        <v>70</v>
      </c>
      <c r="B72" s="37">
        <f>Sheet1!A74</f>
        <v>0</v>
      </c>
      <c r="C72" s="38" t="str">
        <f>IF(Sheet1!C74&lt;50,"r","a")</f>
        <v>r</v>
      </c>
      <c r="D72" s="38" t="str">
        <f>IF(Sheet1!G74&lt;20,"r","a")</f>
        <v>r</v>
      </c>
      <c r="E72" s="38" t="str">
        <f>IF(Sheet1!K74&lt;2.5,"r","a")</f>
        <v>r</v>
      </c>
      <c r="F72" s="38" t="str">
        <f>IF(Sheet1!D74&lt;55,"r","a")</f>
        <v>r</v>
      </c>
      <c r="G72" s="38" t="str">
        <f>IF(Sheet1!H74&lt;20,"r","a")</f>
        <v>r</v>
      </c>
      <c r="H72" s="38" t="str">
        <f>IF(Sheet1!L74&lt;2.5,"r","a")</f>
        <v>r</v>
      </c>
      <c r="I72" s="38" t="str">
        <f>IF(Sheet1!E74&lt;45,"r","a")</f>
        <v>r</v>
      </c>
      <c r="J72" s="38" t="str">
        <f>IF(Sheet1!I74&lt;15,"r","a")</f>
        <v>r</v>
      </c>
      <c r="K72" s="38" t="str">
        <f>IF(Sheet1!M74&lt;2.5,"r","a")</f>
        <v>r</v>
      </c>
      <c r="L72" s="38" t="str">
        <f>IF(Sheet1!J74&lt;12.5,"r","a")</f>
        <v>r</v>
      </c>
    </row>
    <row r="73" spans="1:12" ht="15.75" customHeight="1" x14ac:dyDescent="0.3">
      <c r="A73" s="37">
        <v>71</v>
      </c>
      <c r="B73" s="37">
        <f>Sheet1!A75</f>
        <v>0</v>
      </c>
      <c r="C73" s="38" t="str">
        <f>IF(Sheet1!C75&lt;50,"r","a")</f>
        <v>r</v>
      </c>
      <c r="D73" s="38" t="str">
        <f>IF(Sheet1!G75&lt;20,"r","a")</f>
        <v>r</v>
      </c>
      <c r="E73" s="38" t="str">
        <f>IF(Sheet1!K75&lt;2.5,"r","a")</f>
        <v>r</v>
      </c>
      <c r="F73" s="38" t="str">
        <f>IF(Sheet1!D75&lt;55,"r","a")</f>
        <v>r</v>
      </c>
      <c r="G73" s="38" t="str">
        <f>IF(Sheet1!H75&lt;20,"r","a")</f>
        <v>r</v>
      </c>
      <c r="H73" s="38" t="str">
        <f>IF(Sheet1!L75&lt;2.5,"r","a")</f>
        <v>r</v>
      </c>
      <c r="I73" s="38" t="str">
        <f>IF(Sheet1!E75&lt;45,"r","a")</f>
        <v>r</v>
      </c>
      <c r="J73" s="38" t="str">
        <f>IF(Sheet1!I75&lt;15,"r","a")</f>
        <v>r</v>
      </c>
      <c r="K73" s="38" t="str">
        <f>IF(Sheet1!M75&lt;2.5,"r","a")</f>
        <v>r</v>
      </c>
      <c r="L73" s="38" t="str">
        <f>IF(Sheet1!J75&lt;12.5,"r","a")</f>
        <v>r</v>
      </c>
    </row>
    <row r="74" spans="1:12" ht="15.75" customHeight="1" x14ac:dyDescent="0.3">
      <c r="A74" s="37">
        <v>72</v>
      </c>
      <c r="B74" s="37">
        <f>Sheet1!A76</f>
        <v>0</v>
      </c>
      <c r="C74" s="38" t="str">
        <f>IF(Sheet1!C76&lt;50,"r","a")</f>
        <v>r</v>
      </c>
      <c r="D74" s="38" t="str">
        <f>IF(Sheet1!G76&lt;20,"r","a")</f>
        <v>r</v>
      </c>
      <c r="E74" s="38" t="str">
        <f>IF(Sheet1!K76&lt;2.5,"r","a")</f>
        <v>r</v>
      </c>
      <c r="F74" s="38" t="str">
        <f>IF(Sheet1!D76&lt;55,"r","a")</f>
        <v>r</v>
      </c>
      <c r="G74" s="38" t="str">
        <f>IF(Sheet1!H76&lt;20,"r","a")</f>
        <v>r</v>
      </c>
      <c r="H74" s="38" t="str">
        <f>IF(Sheet1!L76&lt;2.5,"r","a")</f>
        <v>r</v>
      </c>
      <c r="I74" s="38" t="str">
        <f>IF(Sheet1!E76&lt;45,"r","a")</f>
        <v>r</v>
      </c>
      <c r="J74" s="38" t="str">
        <f>IF(Sheet1!I76&lt;15,"r","a")</f>
        <v>r</v>
      </c>
      <c r="K74" s="38" t="str">
        <f>IF(Sheet1!M76&lt;2.5,"r","a")</f>
        <v>r</v>
      </c>
      <c r="L74" s="38" t="str">
        <f>IF(Sheet1!J76&lt;12.5,"r","a")</f>
        <v>r</v>
      </c>
    </row>
    <row r="75" spans="1:12" ht="15.75" customHeight="1" x14ac:dyDescent="0.3">
      <c r="A75" s="37">
        <v>73</v>
      </c>
      <c r="B75" s="37">
        <f>Sheet1!A77</f>
        <v>0</v>
      </c>
      <c r="C75" s="38" t="str">
        <f>IF(Sheet1!C77&lt;50,"r","a")</f>
        <v>r</v>
      </c>
      <c r="D75" s="38" t="str">
        <f>IF(Sheet1!G77&lt;20,"r","a")</f>
        <v>r</v>
      </c>
      <c r="E75" s="38" t="str">
        <f>IF(Sheet1!K77&lt;2.5,"r","a")</f>
        <v>r</v>
      </c>
      <c r="F75" s="38" t="str">
        <f>IF(Sheet1!D77&lt;55,"r","a")</f>
        <v>r</v>
      </c>
      <c r="G75" s="38" t="str">
        <f>IF(Sheet1!H77&lt;20,"r","a")</f>
        <v>r</v>
      </c>
      <c r="H75" s="38" t="str">
        <f>IF(Sheet1!L77&lt;2.5,"r","a")</f>
        <v>r</v>
      </c>
      <c r="I75" s="38" t="str">
        <f>IF(Sheet1!E77&lt;45,"r","a")</f>
        <v>r</v>
      </c>
      <c r="J75" s="38" t="str">
        <f>IF(Sheet1!I77&lt;15,"r","a")</f>
        <v>r</v>
      </c>
      <c r="K75" s="38" t="str">
        <f>IF(Sheet1!M77&lt;2.5,"r","a")</f>
        <v>r</v>
      </c>
      <c r="L75" s="38" t="str">
        <f>IF(Sheet1!J77&lt;12.5,"r","a")</f>
        <v>r</v>
      </c>
    </row>
    <row r="76" spans="1:12" ht="15.75" customHeight="1" x14ac:dyDescent="0.3">
      <c r="A76" s="37">
        <v>74</v>
      </c>
      <c r="B76" s="37">
        <f>Sheet1!A78</f>
        <v>0</v>
      </c>
      <c r="C76" s="38" t="str">
        <f>IF(Sheet1!C78&lt;50,"r","a")</f>
        <v>r</v>
      </c>
      <c r="D76" s="38" t="str">
        <f>IF(Sheet1!G78&lt;20,"r","a")</f>
        <v>r</v>
      </c>
      <c r="E76" s="38" t="str">
        <f>IF(Sheet1!K78&lt;2.5,"r","a")</f>
        <v>r</v>
      </c>
      <c r="F76" s="38" t="str">
        <f>IF(Sheet1!D78&lt;55,"r","a")</f>
        <v>r</v>
      </c>
      <c r="G76" s="38" t="str">
        <f>IF(Sheet1!H78&lt;20,"r","a")</f>
        <v>r</v>
      </c>
      <c r="H76" s="38" t="str">
        <f>IF(Sheet1!L78&lt;2.5,"r","a")</f>
        <v>r</v>
      </c>
      <c r="I76" s="38" t="str">
        <f>IF(Sheet1!E78&lt;45,"r","a")</f>
        <v>r</v>
      </c>
      <c r="J76" s="38" t="str">
        <f>IF(Sheet1!I78&lt;15,"r","a")</f>
        <v>r</v>
      </c>
      <c r="K76" s="38" t="str">
        <f>IF(Sheet1!M78&lt;2.5,"r","a")</f>
        <v>r</v>
      </c>
      <c r="L76" s="38" t="str">
        <f>IF(Sheet1!J78&lt;12.5,"r","a")</f>
        <v>r</v>
      </c>
    </row>
    <row r="77" spans="1:12" ht="15.75" customHeight="1" x14ac:dyDescent="0.3">
      <c r="A77" s="37">
        <v>75</v>
      </c>
      <c r="B77" s="37">
        <f>Sheet1!A79</f>
        <v>0</v>
      </c>
      <c r="C77" s="38" t="str">
        <f>IF(Sheet1!C79&lt;50,"r","a")</f>
        <v>r</v>
      </c>
      <c r="D77" s="38" t="str">
        <f>IF(Sheet1!G79&lt;20,"r","a")</f>
        <v>r</v>
      </c>
      <c r="E77" s="38" t="str">
        <f>IF(Sheet1!K79&lt;2.5,"r","a")</f>
        <v>r</v>
      </c>
      <c r="F77" s="38" t="str">
        <f>IF(Sheet1!D79&lt;55,"r","a")</f>
        <v>r</v>
      </c>
      <c r="G77" s="38" t="str">
        <f>IF(Sheet1!H79&lt;20,"r","a")</f>
        <v>r</v>
      </c>
      <c r="H77" s="38" t="str">
        <f>IF(Sheet1!L79&lt;2.5,"r","a")</f>
        <v>r</v>
      </c>
      <c r="I77" s="38" t="str">
        <f>IF(Sheet1!E79&lt;45,"r","a")</f>
        <v>r</v>
      </c>
      <c r="J77" s="38" t="str">
        <f>IF(Sheet1!I79&lt;15,"r","a")</f>
        <v>r</v>
      </c>
      <c r="K77" s="38" t="str">
        <f>IF(Sheet1!M79&lt;2.5,"r","a")</f>
        <v>r</v>
      </c>
      <c r="L77" s="38" t="str">
        <f>IF(Sheet1!J79&lt;12.5,"r","a")</f>
        <v>r</v>
      </c>
    </row>
    <row r="78" spans="1:12" ht="15.75" customHeight="1" x14ac:dyDescent="0.3">
      <c r="A78" s="37">
        <v>76</v>
      </c>
      <c r="B78" s="37">
        <f>Sheet1!A80</f>
        <v>0</v>
      </c>
      <c r="C78" s="38" t="str">
        <f>IF(Sheet1!C80&lt;50,"r","a")</f>
        <v>r</v>
      </c>
      <c r="D78" s="38" t="str">
        <f>IF(Sheet1!G80&lt;20,"r","a")</f>
        <v>r</v>
      </c>
      <c r="E78" s="38" t="str">
        <f>IF(Sheet1!K80&lt;2.5,"r","a")</f>
        <v>r</v>
      </c>
      <c r="F78" s="38" t="str">
        <f>IF(Sheet1!D80&lt;55,"r","a")</f>
        <v>r</v>
      </c>
      <c r="G78" s="38" t="str">
        <f>IF(Sheet1!H80&lt;20,"r","a")</f>
        <v>r</v>
      </c>
      <c r="H78" s="38" t="str">
        <f>IF(Sheet1!L80&lt;2.5,"r","a")</f>
        <v>r</v>
      </c>
      <c r="I78" s="38" t="str">
        <f>IF(Sheet1!E80&lt;45,"r","a")</f>
        <v>r</v>
      </c>
      <c r="J78" s="38" t="str">
        <f>IF(Sheet1!I80&lt;15,"r","a")</f>
        <v>r</v>
      </c>
      <c r="K78" s="38" t="str">
        <f>IF(Sheet1!M80&lt;2.5,"r","a")</f>
        <v>r</v>
      </c>
      <c r="L78" s="38" t="str">
        <f>IF(Sheet1!J80&lt;12.5,"r","a")</f>
        <v>r</v>
      </c>
    </row>
    <row r="79" spans="1:12" ht="15.75" customHeight="1" x14ac:dyDescent="0.3">
      <c r="A79" s="37">
        <v>77</v>
      </c>
      <c r="B79" s="37">
        <f>Sheet1!A81</f>
        <v>0</v>
      </c>
      <c r="C79" s="38" t="str">
        <f>IF(Sheet1!C81&lt;50,"r","a")</f>
        <v>r</v>
      </c>
      <c r="D79" s="38" t="str">
        <f>IF(Sheet1!G81&lt;20,"r","a")</f>
        <v>r</v>
      </c>
      <c r="E79" s="38" t="str">
        <f>IF(Sheet1!K81&lt;2.5,"r","a")</f>
        <v>r</v>
      </c>
      <c r="F79" s="38" t="str">
        <f>IF(Sheet1!D81&lt;55,"r","a")</f>
        <v>r</v>
      </c>
      <c r="G79" s="38" t="str">
        <f>IF(Sheet1!H81&lt;20,"r","a")</f>
        <v>r</v>
      </c>
      <c r="H79" s="38" t="str">
        <f>IF(Sheet1!L81&lt;2.5,"r","a")</f>
        <v>r</v>
      </c>
      <c r="I79" s="38" t="str">
        <f>IF(Sheet1!E81&lt;45,"r","a")</f>
        <v>r</v>
      </c>
      <c r="J79" s="38" t="str">
        <f>IF(Sheet1!I81&lt;15,"r","a")</f>
        <v>r</v>
      </c>
      <c r="K79" s="38" t="str">
        <f>IF(Sheet1!M81&lt;2.5,"r","a")</f>
        <v>r</v>
      </c>
      <c r="L79" s="38" t="str">
        <f>IF(Sheet1!J81&lt;12.5,"r","a")</f>
        <v>r</v>
      </c>
    </row>
    <row r="80" spans="1:12" ht="15.75" customHeight="1" x14ac:dyDescent="0.3">
      <c r="A80" s="37">
        <v>78</v>
      </c>
      <c r="B80" s="37">
        <f>Sheet1!A82</f>
        <v>0</v>
      </c>
      <c r="C80" s="38" t="str">
        <f>IF(Sheet1!C82&lt;50,"r","a")</f>
        <v>r</v>
      </c>
      <c r="D80" s="38" t="str">
        <f>IF(Sheet1!G82&lt;20,"r","a")</f>
        <v>r</v>
      </c>
      <c r="E80" s="38" t="str">
        <f>IF(Sheet1!K82&lt;2.5,"r","a")</f>
        <v>r</v>
      </c>
      <c r="F80" s="38" t="str">
        <f>IF(Sheet1!D82&lt;55,"r","a")</f>
        <v>r</v>
      </c>
      <c r="G80" s="38" t="str">
        <f>IF(Sheet1!H82&lt;20,"r","a")</f>
        <v>r</v>
      </c>
      <c r="H80" s="38" t="str">
        <f>IF(Sheet1!L82&lt;2.5,"r","a")</f>
        <v>r</v>
      </c>
      <c r="I80" s="38" t="str">
        <f>IF(Sheet1!E82&lt;45,"r","a")</f>
        <v>r</v>
      </c>
      <c r="J80" s="38" t="str">
        <f>IF(Sheet1!I82&lt;15,"r","a")</f>
        <v>r</v>
      </c>
      <c r="K80" s="38" t="str">
        <f>IF(Sheet1!M82&lt;2.5,"r","a")</f>
        <v>r</v>
      </c>
      <c r="L80" s="38" t="str">
        <f>IF(Sheet1!J82&lt;12.5,"r","a")</f>
        <v>r</v>
      </c>
    </row>
    <row r="81" spans="1:12" ht="15.75" customHeight="1" x14ac:dyDescent="0.3">
      <c r="A81" s="37">
        <v>79</v>
      </c>
      <c r="B81" s="37">
        <f>Sheet1!A83</f>
        <v>0</v>
      </c>
      <c r="C81" s="38" t="str">
        <f>IF(Sheet1!C83&lt;50,"r","a")</f>
        <v>r</v>
      </c>
      <c r="D81" s="38" t="str">
        <f>IF(Sheet1!G83&lt;20,"r","a")</f>
        <v>r</v>
      </c>
      <c r="E81" s="38" t="str">
        <f>IF(Sheet1!K83&lt;2.5,"r","a")</f>
        <v>r</v>
      </c>
      <c r="F81" s="38" t="str">
        <f>IF(Sheet1!D83&lt;55,"r","a")</f>
        <v>r</v>
      </c>
      <c r="G81" s="38" t="str">
        <f>IF(Sheet1!H83&lt;20,"r","a")</f>
        <v>r</v>
      </c>
      <c r="H81" s="38" t="str">
        <f>IF(Sheet1!L83&lt;2.5,"r","a")</f>
        <v>r</v>
      </c>
      <c r="I81" s="38" t="str">
        <f>IF(Sheet1!E83&lt;45,"r","a")</f>
        <v>r</v>
      </c>
      <c r="J81" s="38" t="str">
        <f>IF(Sheet1!I83&lt;15,"r","a")</f>
        <v>r</v>
      </c>
      <c r="K81" s="38" t="str">
        <f>IF(Sheet1!M83&lt;2.5,"r","a")</f>
        <v>r</v>
      </c>
      <c r="L81" s="38" t="str">
        <f>IF(Sheet1!J83&lt;12.5,"r","a")</f>
        <v>r</v>
      </c>
    </row>
    <row r="82" spans="1:12" ht="15.75" customHeight="1" x14ac:dyDescent="0.3">
      <c r="A82" s="37">
        <v>80</v>
      </c>
      <c r="B82" s="37">
        <f>Sheet1!A84</f>
        <v>0</v>
      </c>
      <c r="C82" s="38" t="str">
        <f>IF(Sheet1!C84&lt;50,"r","a")</f>
        <v>r</v>
      </c>
      <c r="D82" s="38" t="str">
        <f>IF(Sheet1!G84&lt;20,"r","a")</f>
        <v>r</v>
      </c>
      <c r="E82" s="38" t="str">
        <f>IF(Sheet1!K84&lt;2.5,"r","a")</f>
        <v>r</v>
      </c>
      <c r="F82" s="38" t="str">
        <f>IF(Sheet1!D84&lt;55,"r","a")</f>
        <v>r</v>
      </c>
      <c r="G82" s="38" t="str">
        <f>IF(Sheet1!H84&lt;20,"r","a")</f>
        <v>r</v>
      </c>
      <c r="H82" s="38" t="str">
        <f>IF(Sheet1!L84&lt;2.5,"r","a")</f>
        <v>r</v>
      </c>
      <c r="I82" s="38" t="str">
        <f>IF(Sheet1!E84&lt;45,"r","a")</f>
        <v>r</v>
      </c>
      <c r="J82" s="38" t="str">
        <f>IF(Sheet1!I84&lt;15,"r","a")</f>
        <v>r</v>
      </c>
      <c r="K82" s="38" t="str">
        <f>IF(Sheet1!M84&lt;2.5,"r","a")</f>
        <v>r</v>
      </c>
      <c r="L82" s="38" t="str">
        <f>IF(Sheet1!J84&lt;12.5,"r","a")</f>
        <v>r</v>
      </c>
    </row>
    <row r="83" spans="1:12" ht="15.75" customHeight="1" x14ac:dyDescent="0.3">
      <c r="A83" s="37">
        <v>81</v>
      </c>
      <c r="B83" s="37">
        <f>Sheet1!A85</f>
        <v>0</v>
      </c>
      <c r="C83" s="38" t="str">
        <f>IF(Sheet1!C85&lt;50,"r","a")</f>
        <v>r</v>
      </c>
      <c r="D83" s="38" t="str">
        <f>IF(Sheet1!G85&lt;20,"r","a")</f>
        <v>r</v>
      </c>
      <c r="E83" s="38" t="str">
        <f>IF(Sheet1!K85&lt;2.5,"r","a")</f>
        <v>r</v>
      </c>
      <c r="F83" s="38" t="str">
        <f>IF(Sheet1!D85&lt;55,"r","a")</f>
        <v>r</v>
      </c>
      <c r="G83" s="38" t="str">
        <f>IF(Sheet1!H85&lt;20,"r","a")</f>
        <v>r</v>
      </c>
      <c r="H83" s="38" t="str">
        <f>IF(Sheet1!L85&lt;2.5,"r","a")</f>
        <v>r</v>
      </c>
      <c r="I83" s="38" t="str">
        <f>IF(Sheet1!E85&lt;45,"r","a")</f>
        <v>r</v>
      </c>
      <c r="J83" s="38" t="str">
        <f>IF(Sheet1!I85&lt;15,"r","a")</f>
        <v>r</v>
      </c>
      <c r="K83" s="38" t="str">
        <f>IF(Sheet1!M85&lt;2.5,"r","a")</f>
        <v>r</v>
      </c>
      <c r="L83" s="38" t="str">
        <f>IF(Sheet1!J85&lt;12.5,"r","a")</f>
        <v>r</v>
      </c>
    </row>
    <row r="84" spans="1:12" ht="15.75" customHeight="1" x14ac:dyDescent="0.3">
      <c r="A84" s="37">
        <v>82</v>
      </c>
      <c r="B84" s="37">
        <f>Sheet1!A86</f>
        <v>0</v>
      </c>
      <c r="C84" s="38" t="str">
        <f>IF(Sheet1!C86&lt;50,"r","a")</f>
        <v>r</v>
      </c>
      <c r="D84" s="38" t="str">
        <f>IF(Sheet1!G86&lt;20,"r","a")</f>
        <v>r</v>
      </c>
      <c r="E84" s="38" t="str">
        <f>IF(Sheet1!K86&lt;2.5,"r","a")</f>
        <v>r</v>
      </c>
      <c r="F84" s="38" t="str">
        <f>IF(Sheet1!D86&lt;55,"r","a")</f>
        <v>r</v>
      </c>
      <c r="G84" s="38" t="str">
        <f>IF(Sheet1!H86&lt;20,"r","a")</f>
        <v>r</v>
      </c>
      <c r="H84" s="38" t="str">
        <f>IF(Sheet1!L86&lt;2.5,"r","a")</f>
        <v>r</v>
      </c>
      <c r="I84" s="38" t="str">
        <f>IF(Sheet1!E86&lt;45,"r","a")</f>
        <v>r</v>
      </c>
      <c r="J84" s="38" t="str">
        <f>IF(Sheet1!I86&lt;15,"r","a")</f>
        <v>r</v>
      </c>
      <c r="K84" s="38" t="str">
        <f>IF(Sheet1!M86&lt;2.5,"r","a")</f>
        <v>r</v>
      </c>
      <c r="L84" s="38" t="str">
        <f>IF(Sheet1!J86&lt;12.5,"r","a")</f>
        <v>r</v>
      </c>
    </row>
    <row r="85" spans="1:12" ht="15.75" customHeight="1" x14ac:dyDescent="0.3">
      <c r="A85" s="37">
        <v>83</v>
      </c>
      <c r="B85" s="37">
        <f>Sheet1!A87</f>
        <v>0</v>
      </c>
      <c r="C85" s="38" t="str">
        <f>IF(Sheet1!C87&lt;50,"r","a")</f>
        <v>r</v>
      </c>
      <c r="D85" s="38" t="str">
        <f>IF(Sheet1!G87&lt;20,"r","a")</f>
        <v>r</v>
      </c>
      <c r="E85" s="38" t="str">
        <f>IF(Sheet1!K87&lt;2.5,"r","a")</f>
        <v>r</v>
      </c>
      <c r="F85" s="38" t="str">
        <f>IF(Sheet1!D87&lt;55,"r","a")</f>
        <v>r</v>
      </c>
      <c r="G85" s="38" t="str">
        <f>IF(Sheet1!H87&lt;20,"r","a")</f>
        <v>r</v>
      </c>
      <c r="H85" s="38" t="str">
        <f>IF(Sheet1!L87&lt;2.5,"r","a")</f>
        <v>r</v>
      </c>
      <c r="I85" s="38" t="str">
        <f>IF(Sheet1!E87&lt;45,"r","a")</f>
        <v>r</v>
      </c>
      <c r="J85" s="38" t="str">
        <f>IF(Sheet1!I87&lt;15,"r","a")</f>
        <v>r</v>
      </c>
      <c r="K85" s="38" t="str">
        <f>IF(Sheet1!M87&lt;2.5,"r","a")</f>
        <v>r</v>
      </c>
      <c r="L85" s="38" t="str">
        <f>IF(Sheet1!J87&lt;12.5,"r","a")</f>
        <v>r</v>
      </c>
    </row>
    <row r="86" spans="1:12" ht="15.75" customHeight="1" x14ac:dyDescent="0.3">
      <c r="A86" s="37">
        <v>84</v>
      </c>
      <c r="B86" s="37">
        <f>Sheet1!A88</f>
        <v>0</v>
      </c>
      <c r="C86" s="38" t="str">
        <f>IF(Sheet1!C88&lt;50,"r","a")</f>
        <v>r</v>
      </c>
      <c r="D86" s="38" t="str">
        <f>IF(Sheet1!G88&lt;20,"r","a")</f>
        <v>r</v>
      </c>
      <c r="E86" s="38" t="str">
        <f>IF(Sheet1!K88&lt;2.5,"r","a")</f>
        <v>r</v>
      </c>
      <c r="F86" s="38" t="str">
        <f>IF(Sheet1!D88&lt;55,"r","a")</f>
        <v>r</v>
      </c>
      <c r="G86" s="38" t="str">
        <f>IF(Sheet1!H88&lt;20,"r","a")</f>
        <v>r</v>
      </c>
      <c r="H86" s="38" t="str">
        <f>IF(Sheet1!L88&lt;2.5,"r","a")</f>
        <v>r</v>
      </c>
      <c r="I86" s="38" t="str">
        <f>IF(Sheet1!E88&lt;45,"r","a")</f>
        <v>r</v>
      </c>
      <c r="J86" s="38" t="str">
        <f>IF(Sheet1!I88&lt;15,"r","a")</f>
        <v>r</v>
      </c>
      <c r="K86" s="38" t="str">
        <f>IF(Sheet1!M88&lt;2.5,"r","a")</f>
        <v>r</v>
      </c>
      <c r="L86" s="38" t="str">
        <f>IF(Sheet1!J88&lt;12.5,"r","a")</f>
        <v>r</v>
      </c>
    </row>
    <row r="87" spans="1:12" ht="15.75" customHeight="1" x14ac:dyDescent="0.3">
      <c r="A87" s="37">
        <v>85</v>
      </c>
      <c r="B87" s="37">
        <f>Sheet1!A89</f>
        <v>0</v>
      </c>
      <c r="C87" s="38" t="str">
        <f>IF(Sheet1!C89&lt;50,"r","a")</f>
        <v>r</v>
      </c>
      <c r="D87" s="38" t="str">
        <f>IF(Sheet1!G89&lt;20,"r","a")</f>
        <v>r</v>
      </c>
      <c r="E87" s="38" t="str">
        <f>IF(Sheet1!K89&lt;2.5,"r","a")</f>
        <v>r</v>
      </c>
      <c r="F87" s="38" t="str">
        <f>IF(Sheet1!D89&lt;55,"r","a")</f>
        <v>r</v>
      </c>
      <c r="G87" s="38" t="str">
        <f>IF(Sheet1!H89&lt;20,"r","a")</f>
        <v>r</v>
      </c>
      <c r="H87" s="38" t="str">
        <f>IF(Sheet1!L89&lt;2.5,"r","a")</f>
        <v>r</v>
      </c>
      <c r="I87" s="38" t="str">
        <f>IF(Sheet1!E89&lt;45,"r","a")</f>
        <v>r</v>
      </c>
      <c r="J87" s="38" t="str">
        <f>IF(Sheet1!I89&lt;15,"r","a")</f>
        <v>r</v>
      </c>
      <c r="K87" s="38" t="str">
        <f>IF(Sheet1!M89&lt;2.5,"r","a")</f>
        <v>r</v>
      </c>
      <c r="L87" s="38" t="str">
        <f>IF(Sheet1!J89&lt;12.5,"r","a")</f>
        <v>r</v>
      </c>
    </row>
    <row r="88" spans="1:12" ht="15.75" customHeight="1" x14ac:dyDescent="0.3">
      <c r="A88" s="37">
        <v>86</v>
      </c>
      <c r="B88" s="37">
        <f>Sheet1!A90</f>
        <v>0</v>
      </c>
      <c r="C88" s="38" t="str">
        <f>IF(Sheet1!C90&lt;50,"r","a")</f>
        <v>r</v>
      </c>
      <c r="D88" s="38" t="str">
        <f>IF(Sheet1!G90&lt;20,"r","a")</f>
        <v>r</v>
      </c>
      <c r="E88" s="38" t="str">
        <f>IF(Sheet1!K90&lt;2.5,"r","a")</f>
        <v>r</v>
      </c>
      <c r="F88" s="38" t="str">
        <f>IF(Sheet1!D90&lt;55,"r","a")</f>
        <v>r</v>
      </c>
      <c r="G88" s="38" t="str">
        <f>IF(Sheet1!H90&lt;20,"r","a")</f>
        <v>r</v>
      </c>
      <c r="H88" s="38" t="str">
        <f>IF(Sheet1!L90&lt;2.5,"r","a")</f>
        <v>r</v>
      </c>
      <c r="I88" s="38" t="str">
        <f>IF(Sheet1!E90&lt;45,"r","a")</f>
        <v>r</v>
      </c>
      <c r="J88" s="38" t="str">
        <f>IF(Sheet1!I90&lt;15,"r","a")</f>
        <v>r</v>
      </c>
      <c r="K88" s="38" t="str">
        <f>IF(Sheet1!M90&lt;2.5,"r","a")</f>
        <v>r</v>
      </c>
      <c r="L88" s="38" t="str">
        <f>IF(Sheet1!J90&lt;12.5,"r","a")</f>
        <v>r</v>
      </c>
    </row>
    <row r="89" spans="1:12" ht="15.75" customHeight="1" x14ac:dyDescent="0.3">
      <c r="A89" s="37">
        <v>87</v>
      </c>
      <c r="B89" s="37">
        <f>Sheet1!A91</f>
        <v>0</v>
      </c>
      <c r="C89" s="38" t="str">
        <f>IF(Sheet1!C91&lt;50,"r","a")</f>
        <v>r</v>
      </c>
      <c r="D89" s="38" t="str">
        <f>IF(Sheet1!G91&lt;20,"r","a")</f>
        <v>r</v>
      </c>
      <c r="E89" s="38" t="str">
        <f>IF(Sheet1!K91&lt;2.5,"r","a")</f>
        <v>r</v>
      </c>
      <c r="F89" s="38" t="str">
        <f>IF(Sheet1!D91&lt;55,"r","a")</f>
        <v>r</v>
      </c>
      <c r="G89" s="38" t="str">
        <f>IF(Sheet1!H91&lt;20,"r","a")</f>
        <v>r</v>
      </c>
      <c r="H89" s="38" t="str">
        <f>IF(Sheet1!L91&lt;2.5,"r","a")</f>
        <v>r</v>
      </c>
      <c r="I89" s="38" t="str">
        <f>IF(Sheet1!E91&lt;45,"r","a")</f>
        <v>r</v>
      </c>
      <c r="J89" s="38" t="str">
        <f>IF(Sheet1!I91&lt;15,"r","a")</f>
        <v>r</v>
      </c>
      <c r="K89" s="38" t="str">
        <f>IF(Sheet1!M91&lt;2.5,"r","a")</f>
        <v>r</v>
      </c>
      <c r="L89" s="38" t="str">
        <f>IF(Sheet1!J91&lt;12.5,"r","a")</f>
        <v>r</v>
      </c>
    </row>
    <row r="90" spans="1:12" ht="15.75" customHeight="1" x14ac:dyDescent="0.3">
      <c r="A90" s="37">
        <v>88</v>
      </c>
      <c r="B90" s="37">
        <f>Sheet1!A92</f>
        <v>0</v>
      </c>
      <c r="C90" s="38" t="str">
        <f>IF(Sheet1!C92&lt;50,"r","a")</f>
        <v>r</v>
      </c>
      <c r="D90" s="38" t="str">
        <f>IF(Sheet1!G92&lt;20,"r","a")</f>
        <v>r</v>
      </c>
      <c r="E90" s="38" t="str">
        <f>IF(Sheet1!K92&lt;2.5,"r","a")</f>
        <v>r</v>
      </c>
      <c r="F90" s="38" t="str">
        <f>IF(Sheet1!D92&lt;55,"r","a")</f>
        <v>r</v>
      </c>
      <c r="G90" s="38" t="str">
        <f>IF(Sheet1!H92&lt;20,"r","a")</f>
        <v>r</v>
      </c>
      <c r="H90" s="38" t="str">
        <f>IF(Sheet1!L92&lt;2.5,"r","a")</f>
        <v>r</v>
      </c>
      <c r="I90" s="38" t="str">
        <f>IF(Sheet1!E92&lt;45,"r","a")</f>
        <v>r</v>
      </c>
      <c r="J90" s="38" t="str">
        <f>IF(Sheet1!I92&lt;15,"r","a")</f>
        <v>r</v>
      </c>
      <c r="K90" s="38" t="str">
        <f>IF(Sheet1!M92&lt;2.5,"r","a")</f>
        <v>r</v>
      </c>
      <c r="L90" s="38" t="str">
        <f>IF(Sheet1!J92&lt;12.5,"r","a")</f>
        <v>r</v>
      </c>
    </row>
    <row r="91" spans="1:12" ht="15.75" customHeight="1" x14ac:dyDescent="0.3">
      <c r="A91" s="37">
        <v>89</v>
      </c>
      <c r="B91" s="37">
        <f>Sheet1!A93</f>
        <v>0</v>
      </c>
      <c r="C91" s="38" t="str">
        <f>IF(Sheet1!C93&lt;50,"r","a")</f>
        <v>r</v>
      </c>
      <c r="D91" s="38" t="str">
        <f>IF(Sheet1!G93&lt;20,"r","a")</f>
        <v>r</v>
      </c>
      <c r="E91" s="38" t="str">
        <f>IF(Sheet1!K93&lt;2.5,"r","a")</f>
        <v>r</v>
      </c>
      <c r="F91" s="38" t="str">
        <f>IF(Sheet1!D93&lt;55,"r","a")</f>
        <v>r</v>
      </c>
      <c r="G91" s="38" t="str">
        <f>IF(Sheet1!H93&lt;20,"r","a")</f>
        <v>r</v>
      </c>
      <c r="H91" s="38" t="str">
        <f>IF(Sheet1!L93&lt;2.5,"r","a")</f>
        <v>r</v>
      </c>
      <c r="I91" s="38" t="str">
        <f>IF(Sheet1!E93&lt;45,"r","a")</f>
        <v>r</v>
      </c>
      <c r="J91" s="38" t="str">
        <f>IF(Sheet1!I93&lt;15,"r","a")</f>
        <v>r</v>
      </c>
      <c r="K91" s="38" t="str">
        <f>IF(Sheet1!M93&lt;2.5,"r","a")</f>
        <v>r</v>
      </c>
      <c r="L91" s="38" t="str">
        <f>IF(Sheet1!J93&lt;12.5,"r","a")</f>
        <v>r</v>
      </c>
    </row>
    <row r="92" spans="1:12" ht="15.75" customHeight="1" x14ac:dyDescent="0.3">
      <c r="A92" s="37">
        <v>90</v>
      </c>
      <c r="B92" s="37">
        <f>Sheet1!A94</f>
        <v>0</v>
      </c>
      <c r="C92" s="38" t="str">
        <f>IF(Sheet1!C94&lt;50,"r","a")</f>
        <v>r</v>
      </c>
      <c r="D92" s="38" t="str">
        <f>IF(Sheet1!G94&lt;20,"r","a")</f>
        <v>r</v>
      </c>
      <c r="E92" s="38" t="str">
        <f>IF(Sheet1!K94&lt;2.5,"r","a")</f>
        <v>r</v>
      </c>
      <c r="F92" s="38" t="str">
        <f>IF(Sheet1!D94&lt;55,"r","a")</f>
        <v>r</v>
      </c>
      <c r="G92" s="38" t="str">
        <f>IF(Sheet1!H94&lt;20,"r","a")</f>
        <v>r</v>
      </c>
      <c r="H92" s="38" t="str">
        <f>IF(Sheet1!L94&lt;2.5,"r","a")</f>
        <v>r</v>
      </c>
      <c r="I92" s="38" t="str">
        <f>IF(Sheet1!E94&lt;45,"r","a")</f>
        <v>r</v>
      </c>
      <c r="J92" s="38" t="str">
        <f>IF(Sheet1!I94&lt;15,"r","a")</f>
        <v>r</v>
      </c>
      <c r="K92" s="38" t="str">
        <f>IF(Sheet1!M94&lt;2.5,"r","a")</f>
        <v>r</v>
      </c>
      <c r="L92" s="38" t="str">
        <f>IF(Sheet1!J94&lt;12.5,"r","a")</f>
        <v>r</v>
      </c>
    </row>
    <row r="93" spans="1:12" ht="15.75" customHeight="1" x14ac:dyDescent="0.3">
      <c r="A93" s="37">
        <v>91</v>
      </c>
      <c r="B93" s="37">
        <f>Sheet1!A95</f>
        <v>0</v>
      </c>
      <c r="C93" s="38" t="str">
        <f>IF(Sheet1!C95&lt;50,"r","a")</f>
        <v>r</v>
      </c>
      <c r="D93" s="38" t="str">
        <f>IF(Sheet1!G95&lt;20,"r","a")</f>
        <v>r</v>
      </c>
      <c r="E93" s="38" t="str">
        <f>IF(Sheet1!K95&lt;2.5,"r","a")</f>
        <v>r</v>
      </c>
      <c r="F93" s="38" t="str">
        <f>IF(Sheet1!D95&lt;55,"r","a")</f>
        <v>r</v>
      </c>
      <c r="G93" s="38" t="str">
        <f>IF(Sheet1!H95&lt;20,"r","a")</f>
        <v>r</v>
      </c>
      <c r="H93" s="38" t="str">
        <f>IF(Sheet1!L95&lt;2.5,"r","a")</f>
        <v>r</v>
      </c>
      <c r="I93" s="38" t="str">
        <f>IF(Sheet1!E95&lt;45,"r","a")</f>
        <v>r</v>
      </c>
      <c r="J93" s="38" t="str">
        <f>IF(Sheet1!I95&lt;15,"r","a")</f>
        <v>r</v>
      </c>
      <c r="K93" s="38" t="str">
        <f>IF(Sheet1!M95&lt;2.5,"r","a")</f>
        <v>r</v>
      </c>
      <c r="L93" s="38" t="str">
        <f>IF(Sheet1!J95&lt;12.5,"r","a")</f>
        <v>r</v>
      </c>
    </row>
    <row r="94" spans="1:12" ht="15.75" customHeight="1" x14ac:dyDescent="0.3">
      <c r="A94" s="37">
        <v>92</v>
      </c>
      <c r="B94" s="37">
        <f>Sheet1!A96</f>
        <v>0</v>
      </c>
      <c r="C94" s="38" t="str">
        <f>IF(Sheet1!C96&lt;50,"r","a")</f>
        <v>r</v>
      </c>
      <c r="D94" s="38" t="str">
        <f>IF(Sheet1!G96&lt;20,"r","a")</f>
        <v>r</v>
      </c>
      <c r="E94" s="38" t="str">
        <f>IF(Sheet1!K96&lt;2.5,"r","a")</f>
        <v>r</v>
      </c>
      <c r="F94" s="38" t="str">
        <f>IF(Sheet1!D96&lt;55,"r","a")</f>
        <v>r</v>
      </c>
      <c r="G94" s="38" t="str">
        <f>IF(Sheet1!H96&lt;20,"r","a")</f>
        <v>r</v>
      </c>
      <c r="H94" s="38" t="str">
        <f>IF(Sheet1!L96&lt;2.5,"r","a")</f>
        <v>r</v>
      </c>
      <c r="I94" s="38" t="str">
        <f>IF(Sheet1!E96&lt;45,"r","a")</f>
        <v>r</v>
      </c>
      <c r="J94" s="38" t="str">
        <f>IF(Sheet1!I96&lt;15,"r","a")</f>
        <v>r</v>
      </c>
      <c r="K94" s="38" t="str">
        <f>IF(Sheet1!M96&lt;2.5,"r","a")</f>
        <v>r</v>
      </c>
      <c r="L94" s="38" t="str">
        <f>IF(Sheet1!J96&lt;12.5,"r","a")</f>
        <v>r</v>
      </c>
    </row>
    <row r="95" spans="1:12" ht="15.75" customHeight="1" x14ac:dyDescent="0.3">
      <c r="A95" s="37">
        <v>93</v>
      </c>
      <c r="B95" s="37">
        <f>Sheet1!A97</f>
        <v>0</v>
      </c>
      <c r="C95" s="38" t="str">
        <f>IF(Sheet1!C97&lt;50,"r","a")</f>
        <v>r</v>
      </c>
      <c r="D95" s="38" t="str">
        <f>IF(Sheet1!G97&lt;20,"r","a")</f>
        <v>r</v>
      </c>
      <c r="E95" s="38" t="str">
        <f>IF(Sheet1!K97&lt;2.5,"r","a")</f>
        <v>r</v>
      </c>
      <c r="F95" s="38" t="str">
        <f>IF(Sheet1!D97&lt;55,"r","a")</f>
        <v>r</v>
      </c>
      <c r="G95" s="38" t="str">
        <f>IF(Sheet1!H97&lt;20,"r","a")</f>
        <v>r</v>
      </c>
      <c r="H95" s="38" t="str">
        <f>IF(Sheet1!L97&lt;2.5,"r","a")</f>
        <v>r</v>
      </c>
      <c r="I95" s="38" t="str">
        <f>IF(Sheet1!E97&lt;45,"r","a")</f>
        <v>r</v>
      </c>
      <c r="J95" s="38" t="str">
        <f>IF(Sheet1!I97&lt;15,"r","a")</f>
        <v>r</v>
      </c>
      <c r="K95" s="38" t="str">
        <f>IF(Sheet1!M97&lt;2.5,"r","a")</f>
        <v>r</v>
      </c>
      <c r="L95" s="38" t="str">
        <f>IF(Sheet1!J97&lt;12.5,"r","a")</f>
        <v>r</v>
      </c>
    </row>
    <row r="96" spans="1:12" ht="15.75" customHeight="1" x14ac:dyDescent="0.3">
      <c r="A96" s="37">
        <v>94</v>
      </c>
      <c r="B96" s="37">
        <f>Sheet1!A98</f>
        <v>0</v>
      </c>
      <c r="C96" s="38" t="str">
        <f>IF(Sheet1!C98&lt;50,"r","a")</f>
        <v>r</v>
      </c>
      <c r="D96" s="38" t="str">
        <f>IF(Sheet1!G98&lt;20,"r","a")</f>
        <v>r</v>
      </c>
      <c r="E96" s="38" t="str">
        <f>IF(Sheet1!K98&lt;2.5,"r","a")</f>
        <v>r</v>
      </c>
      <c r="F96" s="38" t="str">
        <f>IF(Sheet1!D98&lt;55,"r","a")</f>
        <v>r</v>
      </c>
      <c r="G96" s="38" t="str">
        <f>IF(Sheet1!H98&lt;20,"r","a")</f>
        <v>r</v>
      </c>
      <c r="H96" s="38" t="str">
        <f>IF(Sheet1!L98&lt;2.5,"r","a")</f>
        <v>r</v>
      </c>
      <c r="I96" s="38" t="str">
        <f>IF(Sheet1!E98&lt;45,"r","a")</f>
        <v>r</v>
      </c>
      <c r="J96" s="38" t="str">
        <f>IF(Sheet1!I98&lt;15,"r","a")</f>
        <v>r</v>
      </c>
      <c r="K96" s="38" t="str">
        <f>IF(Sheet1!M98&lt;2.5,"r","a")</f>
        <v>r</v>
      </c>
      <c r="L96" s="38" t="str">
        <f>IF(Sheet1!J98&lt;12.5,"r","a")</f>
        <v>r</v>
      </c>
    </row>
    <row r="97" spans="1:12" ht="15.75" customHeight="1" x14ac:dyDescent="0.3">
      <c r="A97" s="37">
        <v>95</v>
      </c>
      <c r="B97" s="37">
        <f>Sheet1!A99</f>
        <v>0</v>
      </c>
      <c r="C97" s="38" t="str">
        <f>IF(Sheet1!C99&lt;50,"r","a")</f>
        <v>r</v>
      </c>
      <c r="D97" s="38" t="str">
        <f>IF(Sheet1!G99&lt;20,"r","a")</f>
        <v>r</v>
      </c>
      <c r="E97" s="38" t="str">
        <f>IF(Sheet1!K99&lt;2.5,"r","a")</f>
        <v>r</v>
      </c>
      <c r="F97" s="38" t="str">
        <f>IF(Sheet1!D99&lt;55,"r","a")</f>
        <v>r</v>
      </c>
      <c r="G97" s="38" t="str">
        <f>IF(Sheet1!H99&lt;20,"r","a")</f>
        <v>r</v>
      </c>
      <c r="H97" s="38" t="str">
        <f>IF(Sheet1!L99&lt;2.5,"r","a")</f>
        <v>r</v>
      </c>
      <c r="I97" s="38" t="str">
        <f>IF(Sheet1!E99&lt;45,"r","a")</f>
        <v>r</v>
      </c>
      <c r="J97" s="38" t="str">
        <f>IF(Sheet1!I99&lt;15,"r","a")</f>
        <v>r</v>
      </c>
      <c r="K97" s="38" t="str">
        <f>IF(Sheet1!M99&lt;2.5,"r","a")</f>
        <v>r</v>
      </c>
      <c r="L97" s="38" t="str">
        <f>IF(Sheet1!J99&lt;12.5,"r","a")</f>
        <v>r</v>
      </c>
    </row>
    <row r="98" spans="1:12" ht="15.75" customHeight="1" x14ac:dyDescent="0.3">
      <c r="A98" s="37">
        <v>96</v>
      </c>
      <c r="B98" s="37">
        <f>Sheet1!A100</f>
        <v>0</v>
      </c>
      <c r="C98" s="38" t="str">
        <f>IF(Sheet1!C100&lt;50,"r","a")</f>
        <v>r</v>
      </c>
      <c r="D98" s="38" t="str">
        <f>IF(Sheet1!G100&lt;20,"r","a")</f>
        <v>r</v>
      </c>
      <c r="E98" s="38" t="str">
        <f>IF(Sheet1!K100&lt;2.5,"r","a")</f>
        <v>r</v>
      </c>
      <c r="F98" s="38" t="str">
        <f>IF(Sheet1!D100&lt;55,"r","a")</f>
        <v>r</v>
      </c>
      <c r="G98" s="38" t="str">
        <f>IF(Sheet1!H100&lt;20,"r","a")</f>
        <v>r</v>
      </c>
      <c r="H98" s="38" t="str">
        <f>IF(Sheet1!L100&lt;2.5,"r","a")</f>
        <v>r</v>
      </c>
      <c r="I98" s="38" t="str">
        <f>IF(Sheet1!E100&lt;45,"r","a")</f>
        <v>r</v>
      </c>
      <c r="J98" s="38" t="str">
        <f>IF(Sheet1!I100&lt;15,"r","a")</f>
        <v>r</v>
      </c>
      <c r="K98" s="38" t="str">
        <f>IF(Sheet1!M100&lt;2.5,"r","a")</f>
        <v>r</v>
      </c>
      <c r="L98" s="38" t="str">
        <f>IF(Sheet1!J100&lt;12.5,"r","a")</f>
        <v>r</v>
      </c>
    </row>
    <row r="99" spans="1:12" ht="15.75" customHeight="1" x14ac:dyDescent="0.3">
      <c r="A99" s="37">
        <v>97</v>
      </c>
      <c r="B99" s="37">
        <f>Sheet1!A101</f>
        <v>0</v>
      </c>
      <c r="C99" s="38" t="str">
        <f>IF(Sheet1!C101&lt;50,"r","a")</f>
        <v>r</v>
      </c>
      <c r="D99" s="38" t="str">
        <f>IF(Sheet1!G101&lt;20,"r","a")</f>
        <v>r</v>
      </c>
      <c r="E99" s="38" t="str">
        <f>IF(Sheet1!K101&lt;2.5,"r","a")</f>
        <v>r</v>
      </c>
      <c r="F99" s="38" t="str">
        <f>IF(Sheet1!D101&lt;55,"r","a")</f>
        <v>r</v>
      </c>
      <c r="G99" s="38" t="str">
        <f>IF(Sheet1!H101&lt;20,"r","a")</f>
        <v>r</v>
      </c>
      <c r="H99" s="38" t="str">
        <f>IF(Sheet1!L101&lt;2.5,"r","a")</f>
        <v>r</v>
      </c>
      <c r="I99" s="38" t="str">
        <f>IF(Sheet1!E101&lt;45,"r","a")</f>
        <v>r</v>
      </c>
      <c r="J99" s="38" t="str">
        <f>IF(Sheet1!I101&lt;15,"r","a")</f>
        <v>r</v>
      </c>
      <c r="K99" s="38" t="str">
        <f>IF(Sheet1!M101&lt;2.5,"r","a")</f>
        <v>r</v>
      </c>
      <c r="L99" s="38" t="str">
        <f>IF(Sheet1!J101&lt;12.5,"r","a")</f>
        <v>r</v>
      </c>
    </row>
    <row r="100" spans="1:12" ht="15.75" customHeight="1" x14ac:dyDescent="0.3">
      <c r="A100" s="37">
        <v>98</v>
      </c>
      <c r="B100" s="37">
        <f>Sheet1!A102</f>
        <v>0</v>
      </c>
      <c r="C100" s="38" t="str">
        <f>IF(Sheet1!C102&lt;50,"r","a")</f>
        <v>r</v>
      </c>
      <c r="D100" s="38" t="str">
        <f>IF(Sheet1!G102&lt;20,"r","a")</f>
        <v>r</v>
      </c>
      <c r="E100" s="38" t="str">
        <f>IF(Sheet1!K102&lt;2.5,"r","a")</f>
        <v>r</v>
      </c>
      <c r="F100" s="38" t="str">
        <f>IF(Sheet1!D102&lt;55,"r","a")</f>
        <v>r</v>
      </c>
      <c r="G100" s="38" t="str">
        <f>IF(Sheet1!H102&lt;20,"r","a")</f>
        <v>r</v>
      </c>
      <c r="H100" s="38" t="str">
        <f>IF(Sheet1!L102&lt;2.5,"r","a")</f>
        <v>r</v>
      </c>
      <c r="I100" s="38" t="str">
        <f>IF(Sheet1!E102&lt;45,"r","a")</f>
        <v>r</v>
      </c>
      <c r="J100" s="38" t="str">
        <f>IF(Sheet1!I102&lt;15,"r","a")</f>
        <v>r</v>
      </c>
      <c r="K100" s="38" t="str">
        <f>IF(Sheet1!M102&lt;2.5,"r","a")</f>
        <v>r</v>
      </c>
      <c r="L100" s="38" t="str">
        <f>IF(Sheet1!J102&lt;12.5,"r","a")</f>
        <v>r</v>
      </c>
    </row>
    <row r="101" spans="1:12" ht="15.75" customHeight="1" x14ac:dyDescent="0.3">
      <c r="A101" s="37">
        <v>99</v>
      </c>
      <c r="B101" s="37">
        <f>Sheet1!A103</f>
        <v>0</v>
      </c>
      <c r="C101" s="38" t="str">
        <f>IF(Sheet1!C103&lt;50,"r","a")</f>
        <v>r</v>
      </c>
      <c r="D101" s="38" t="str">
        <f>IF(Sheet1!G103&lt;20,"r","a")</f>
        <v>r</v>
      </c>
      <c r="E101" s="38" t="str">
        <f>IF(Sheet1!K103&lt;2.5,"r","a")</f>
        <v>r</v>
      </c>
      <c r="F101" s="38" t="str">
        <f>IF(Sheet1!D103&lt;55,"r","a")</f>
        <v>r</v>
      </c>
      <c r="G101" s="38" t="str">
        <f>IF(Sheet1!H103&lt;20,"r","a")</f>
        <v>r</v>
      </c>
      <c r="H101" s="38" t="str">
        <f>IF(Sheet1!L103&lt;2.5,"r","a")</f>
        <v>r</v>
      </c>
      <c r="I101" s="38" t="str">
        <f>IF(Sheet1!E103&lt;45,"r","a")</f>
        <v>r</v>
      </c>
      <c r="J101" s="38" t="str">
        <f>IF(Sheet1!I103&lt;15,"r","a")</f>
        <v>r</v>
      </c>
      <c r="K101" s="38" t="str">
        <f>IF(Sheet1!M103&lt;2.5,"r","a")</f>
        <v>r</v>
      </c>
      <c r="L101" s="38" t="str">
        <f>IF(Sheet1!J103&lt;12.5,"r","a")</f>
        <v>r</v>
      </c>
    </row>
    <row r="102" spans="1:12" ht="15.75" customHeight="1" x14ac:dyDescent="0.3">
      <c r="A102" s="37">
        <v>100</v>
      </c>
      <c r="B102" s="37">
        <f>Sheet1!A104</f>
        <v>0</v>
      </c>
      <c r="C102" s="38" t="str">
        <f>IF(Sheet1!C104&lt;50,"r","a")</f>
        <v>r</v>
      </c>
      <c r="D102" s="38" t="str">
        <f>IF(Sheet1!G104&lt;20,"r","a")</f>
        <v>r</v>
      </c>
      <c r="E102" s="38" t="str">
        <f>IF(Sheet1!K104&lt;2.5,"r","a")</f>
        <v>r</v>
      </c>
      <c r="F102" s="38" t="str">
        <f>IF(Sheet1!D104&lt;55,"r","a")</f>
        <v>r</v>
      </c>
      <c r="G102" s="38" t="str">
        <f>IF(Sheet1!H104&lt;20,"r","a")</f>
        <v>r</v>
      </c>
      <c r="H102" s="38" t="str">
        <f>IF(Sheet1!L104&lt;2.5,"r","a")</f>
        <v>r</v>
      </c>
      <c r="I102" s="38" t="str">
        <f>IF(Sheet1!E104&lt;45,"r","a")</f>
        <v>r</v>
      </c>
      <c r="J102" s="38" t="str">
        <f>IF(Sheet1!I104&lt;15,"r","a")</f>
        <v>r</v>
      </c>
      <c r="K102" s="38" t="str">
        <f>IF(Sheet1!M104&lt;2.5,"r","a")</f>
        <v>r</v>
      </c>
      <c r="L102" s="38" t="str">
        <f>IF(Sheet1!J104&lt;12.5,"r","a")</f>
        <v>r</v>
      </c>
    </row>
    <row r="103" spans="1:12" ht="15.75" customHeight="1" x14ac:dyDescent="0.3">
      <c r="A103" s="37">
        <v>101</v>
      </c>
      <c r="B103" s="37">
        <f>Sheet1!A105</f>
        <v>0</v>
      </c>
      <c r="C103" s="38" t="str">
        <f>IF(Sheet1!C105&lt;50,"r","a")</f>
        <v>r</v>
      </c>
      <c r="D103" s="38" t="str">
        <f>IF(Sheet1!G105&lt;20,"r","a")</f>
        <v>r</v>
      </c>
      <c r="E103" s="38" t="str">
        <f>IF(Sheet1!K105&lt;2.5,"r","a")</f>
        <v>r</v>
      </c>
      <c r="F103" s="38" t="str">
        <f>IF(Sheet1!D105&lt;55,"r","a")</f>
        <v>r</v>
      </c>
      <c r="G103" s="38" t="str">
        <f>IF(Sheet1!H105&lt;20,"r","a")</f>
        <v>r</v>
      </c>
      <c r="H103" s="38" t="str">
        <f>IF(Sheet1!L105&lt;2.5,"r","a")</f>
        <v>r</v>
      </c>
      <c r="I103" s="38" t="str">
        <f>IF(Sheet1!E105&lt;45,"r","a")</f>
        <v>r</v>
      </c>
      <c r="J103" s="38" t="str">
        <f>IF(Sheet1!I105&lt;15,"r","a")</f>
        <v>r</v>
      </c>
      <c r="K103" s="38" t="str">
        <f>IF(Sheet1!M105&lt;2.5,"r","a")</f>
        <v>r</v>
      </c>
      <c r="L103" s="38" t="str">
        <f>IF(Sheet1!J105&lt;12.5,"r","a")</f>
        <v>r</v>
      </c>
    </row>
    <row r="104" spans="1:12" ht="15.75" customHeight="1" x14ac:dyDescent="0.3">
      <c r="A104" s="37">
        <v>102</v>
      </c>
      <c r="B104" s="37">
        <f>Sheet1!A106</f>
        <v>0</v>
      </c>
      <c r="C104" s="38" t="str">
        <f>IF(Sheet1!C106&lt;50,"r","a")</f>
        <v>r</v>
      </c>
      <c r="D104" s="38" t="str">
        <f>IF(Sheet1!G106&lt;20,"r","a")</f>
        <v>r</v>
      </c>
      <c r="E104" s="38" t="str">
        <f>IF(Sheet1!K106&lt;2.5,"r","a")</f>
        <v>r</v>
      </c>
      <c r="F104" s="38" t="str">
        <f>IF(Sheet1!D106&lt;55,"r","a")</f>
        <v>r</v>
      </c>
      <c r="G104" s="38" t="str">
        <f>IF(Sheet1!H106&lt;20,"r","a")</f>
        <v>r</v>
      </c>
      <c r="H104" s="38" t="str">
        <f>IF(Sheet1!L106&lt;2.5,"r","a")</f>
        <v>r</v>
      </c>
      <c r="I104" s="38" t="str">
        <f>IF(Sheet1!E106&lt;45,"r","a")</f>
        <v>r</v>
      </c>
      <c r="J104" s="38" t="str">
        <f>IF(Sheet1!I106&lt;15,"r","a")</f>
        <v>r</v>
      </c>
      <c r="K104" s="38" t="str">
        <f>IF(Sheet1!M106&lt;2.5,"r","a")</f>
        <v>r</v>
      </c>
      <c r="L104" s="38" t="str">
        <f>IF(Sheet1!J106&lt;12.5,"r","a")</f>
        <v>r</v>
      </c>
    </row>
    <row r="105" spans="1:12" ht="15.75" customHeight="1" x14ac:dyDescent="0.3">
      <c r="A105" s="37">
        <v>103</v>
      </c>
      <c r="B105" s="37">
        <f>Sheet1!A107</f>
        <v>0</v>
      </c>
      <c r="C105" s="38" t="str">
        <f>IF(Sheet1!C107&lt;50,"r","a")</f>
        <v>r</v>
      </c>
      <c r="D105" s="38" t="str">
        <f>IF(Sheet1!G107&lt;20,"r","a")</f>
        <v>r</v>
      </c>
      <c r="E105" s="38" t="str">
        <f>IF(Sheet1!K107&lt;2.5,"r","a")</f>
        <v>r</v>
      </c>
      <c r="F105" s="38" t="str">
        <f>IF(Sheet1!D107&lt;55,"r","a")</f>
        <v>r</v>
      </c>
      <c r="G105" s="38" t="str">
        <f>IF(Sheet1!H107&lt;20,"r","a")</f>
        <v>r</v>
      </c>
      <c r="H105" s="38" t="str">
        <f>IF(Sheet1!L107&lt;2.5,"r","a")</f>
        <v>r</v>
      </c>
      <c r="I105" s="38" t="str">
        <f>IF(Sheet1!E107&lt;45,"r","a")</f>
        <v>r</v>
      </c>
      <c r="J105" s="38" t="str">
        <f>IF(Sheet1!I107&lt;15,"r","a")</f>
        <v>r</v>
      </c>
      <c r="K105" s="38" t="str">
        <f>IF(Sheet1!M107&lt;2.5,"r","a")</f>
        <v>r</v>
      </c>
      <c r="L105" s="38" t="str">
        <f>IF(Sheet1!J107&lt;12.5,"r","a")</f>
        <v>r</v>
      </c>
    </row>
    <row r="106" spans="1:12" ht="15.75" customHeight="1" x14ac:dyDescent="0.3">
      <c r="A106" s="37">
        <v>104</v>
      </c>
      <c r="B106" s="37">
        <f>Sheet1!A108</f>
        <v>0</v>
      </c>
      <c r="C106" s="38" t="str">
        <f>IF(Sheet1!C108&lt;50,"r","a")</f>
        <v>r</v>
      </c>
      <c r="D106" s="38" t="str">
        <f>IF(Sheet1!G108&lt;20,"r","a")</f>
        <v>r</v>
      </c>
      <c r="E106" s="38" t="str">
        <f>IF(Sheet1!K108&lt;2.5,"r","a")</f>
        <v>r</v>
      </c>
      <c r="F106" s="38" t="str">
        <f>IF(Sheet1!D108&lt;55,"r","a")</f>
        <v>r</v>
      </c>
      <c r="G106" s="38" t="str">
        <f>IF(Sheet1!H108&lt;20,"r","a")</f>
        <v>r</v>
      </c>
      <c r="H106" s="38" t="str">
        <f>IF(Sheet1!L108&lt;2.5,"r","a")</f>
        <v>r</v>
      </c>
      <c r="I106" s="38" t="str">
        <f>IF(Sheet1!E108&lt;45,"r","a")</f>
        <v>r</v>
      </c>
      <c r="J106" s="38" t="str">
        <f>IF(Sheet1!I108&lt;15,"r","a")</f>
        <v>r</v>
      </c>
      <c r="K106" s="38" t="str">
        <f>IF(Sheet1!M108&lt;2.5,"r","a")</f>
        <v>r</v>
      </c>
      <c r="L106" s="38" t="str">
        <f>IF(Sheet1!J108&lt;12.5,"r","a")</f>
        <v>r</v>
      </c>
    </row>
    <row r="107" spans="1:12" ht="15.75" customHeight="1" x14ac:dyDescent="0.3">
      <c r="A107" s="37">
        <v>105</v>
      </c>
      <c r="B107" s="37">
        <f>Sheet1!A109</f>
        <v>0</v>
      </c>
      <c r="C107" s="38" t="str">
        <f>IF(Sheet1!C109&lt;50,"r","a")</f>
        <v>r</v>
      </c>
      <c r="D107" s="38" t="str">
        <f>IF(Sheet1!G109&lt;20,"r","a")</f>
        <v>r</v>
      </c>
      <c r="E107" s="38" t="str">
        <f>IF(Sheet1!K109&lt;2.5,"r","a")</f>
        <v>r</v>
      </c>
      <c r="F107" s="38" t="str">
        <f>IF(Sheet1!D109&lt;55,"r","a")</f>
        <v>r</v>
      </c>
      <c r="G107" s="38" t="str">
        <f>IF(Sheet1!H109&lt;20,"r","a")</f>
        <v>r</v>
      </c>
      <c r="H107" s="38" t="str">
        <f>IF(Sheet1!L109&lt;2.5,"r","a")</f>
        <v>r</v>
      </c>
      <c r="I107" s="38" t="str">
        <f>IF(Sheet1!E109&lt;45,"r","a")</f>
        <v>r</v>
      </c>
      <c r="J107" s="38" t="str">
        <f>IF(Sheet1!I109&lt;15,"r","a")</f>
        <v>r</v>
      </c>
      <c r="K107" s="38" t="str">
        <f>IF(Sheet1!M109&lt;2.5,"r","a")</f>
        <v>r</v>
      </c>
      <c r="L107" s="38" t="str">
        <f>IF(Sheet1!J109&lt;12.5,"r","a")</f>
        <v>r</v>
      </c>
    </row>
    <row r="108" spans="1:12" ht="15.75" customHeight="1" x14ac:dyDescent="0.3">
      <c r="A108" s="37">
        <v>106</v>
      </c>
      <c r="B108" s="37">
        <f>Sheet1!A110</f>
        <v>0</v>
      </c>
      <c r="C108" s="38" t="str">
        <f>IF(Sheet1!C110&lt;50,"r","a")</f>
        <v>r</v>
      </c>
      <c r="D108" s="38" t="str">
        <f>IF(Sheet1!G110&lt;20,"r","a")</f>
        <v>r</v>
      </c>
      <c r="E108" s="38" t="str">
        <f>IF(Sheet1!K110&lt;2.5,"r","a")</f>
        <v>r</v>
      </c>
      <c r="F108" s="38" t="str">
        <f>IF(Sheet1!D110&lt;55,"r","a")</f>
        <v>r</v>
      </c>
      <c r="G108" s="38" t="str">
        <f>IF(Sheet1!H110&lt;20,"r","a")</f>
        <v>r</v>
      </c>
      <c r="H108" s="38" t="str">
        <f>IF(Sheet1!L110&lt;2.5,"r","a")</f>
        <v>r</v>
      </c>
      <c r="I108" s="38" t="str">
        <f>IF(Sheet1!E110&lt;45,"r","a")</f>
        <v>r</v>
      </c>
      <c r="J108" s="38" t="str">
        <f>IF(Sheet1!I110&lt;15,"r","a")</f>
        <v>r</v>
      </c>
      <c r="K108" s="38" t="str">
        <f>IF(Sheet1!M110&lt;2.5,"r","a")</f>
        <v>r</v>
      </c>
      <c r="L108" s="38" t="str">
        <f>IF(Sheet1!J110&lt;12.5,"r","a")</f>
        <v>r</v>
      </c>
    </row>
    <row r="109" spans="1:12" ht="15.75" customHeight="1" x14ac:dyDescent="0.3">
      <c r="A109" s="37">
        <v>107</v>
      </c>
      <c r="B109" s="37">
        <f>Sheet1!A111</f>
        <v>0</v>
      </c>
      <c r="C109" s="38" t="str">
        <f>IF(Sheet1!C111&lt;50,"r","a")</f>
        <v>r</v>
      </c>
      <c r="D109" s="38" t="str">
        <f>IF(Sheet1!G111&lt;20,"r","a")</f>
        <v>r</v>
      </c>
      <c r="E109" s="38" t="str">
        <f>IF(Sheet1!K111&lt;2.5,"r","a")</f>
        <v>r</v>
      </c>
      <c r="F109" s="38" t="str">
        <f>IF(Sheet1!D111&lt;55,"r","a")</f>
        <v>r</v>
      </c>
      <c r="G109" s="38" t="str">
        <f>IF(Sheet1!H111&lt;20,"r","a")</f>
        <v>r</v>
      </c>
      <c r="H109" s="38" t="str">
        <f>IF(Sheet1!L111&lt;2.5,"r","a")</f>
        <v>r</v>
      </c>
      <c r="I109" s="38" t="str">
        <f>IF(Sheet1!E111&lt;45,"r","a")</f>
        <v>r</v>
      </c>
      <c r="J109" s="38" t="str">
        <f>IF(Sheet1!I111&lt;15,"r","a")</f>
        <v>r</v>
      </c>
      <c r="K109" s="38" t="str">
        <f>IF(Sheet1!M111&lt;2.5,"r","a")</f>
        <v>r</v>
      </c>
      <c r="L109" s="38" t="str">
        <f>IF(Sheet1!J111&lt;12.5,"r","a")</f>
        <v>r</v>
      </c>
    </row>
    <row r="110" spans="1:12" ht="15.75" customHeight="1" x14ac:dyDescent="0.3">
      <c r="A110" s="37">
        <v>108</v>
      </c>
      <c r="B110" s="37">
        <f>Sheet1!A112</f>
        <v>0</v>
      </c>
      <c r="C110" s="38" t="str">
        <f>IF(Sheet1!C112&lt;50,"r","a")</f>
        <v>r</v>
      </c>
      <c r="D110" s="38" t="str">
        <f>IF(Sheet1!G112&lt;20,"r","a")</f>
        <v>r</v>
      </c>
      <c r="E110" s="38" t="str">
        <f>IF(Sheet1!K112&lt;2.5,"r","a")</f>
        <v>r</v>
      </c>
      <c r="F110" s="38" t="str">
        <f>IF(Sheet1!D112&lt;55,"r","a")</f>
        <v>r</v>
      </c>
      <c r="G110" s="38" t="str">
        <f>IF(Sheet1!H112&lt;20,"r","a")</f>
        <v>r</v>
      </c>
      <c r="H110" s="38" t="str">
        <f>IF(Sheet1!L112&lt;2.5,"r","a")</f>
        <v>r</v>
      </c>
      <c r="I110" s="38" t="str">
        <f>IF(Sheet1!E112&lt;45,"r","a")</f>
        <v>r</v>
      </c>
      <c r="J110" s="38" t="str">
        <f>IF(Sheet1!I112&lt;15,"r","a")</f>
        <v>r</v>
      </c>
      <c r="K110" s="38" t="str">
        <f>IF(Sheet1!M112&lt;2.5,"r","a")</f>
        <v>r</v>
      </c>
      <c r="L110" s="38" t="str">
        <f>IF(Sheet1!J112&lt;12.5,"r","a")</f>
        <v>r</v>
      </c>
    </row>
    <row r="111" spans="1:12" ht="15.75" customHeight="1" x14ac:dyDescent="0.3">
      <c r="A111" s="37">
        <v>109</v>
      </c>
      <c r="B111" s="37">
        <f>Sheet1!A113</f>
        <v>0</v>
      </c>
      <c r="C111" s="38" t="str">
        <f>IF(Sheet1!C113&lt;50,"r","a")</f>
        <v>r</v>
      </c>
      <c r="D111" s="38" t="str">
        <f>IF(Sheet1!G113&lt;20,"r","a")</f>
        <v>r</v>
      </c>
      <c r="E111" s="38" t="str">
        <f>IF(Sheet1!K113&lt;2.5,"r","a")</f>
        <v>r</v>
      </c>
      <c r="F111" s="38" t="str">
        <f>IF(Sheet1!D113&lt;55,"r","a")</f>
        <v>r</v>
      </c>
      <c r="G111" s="38" t="str">
        <f>IF(Sheet1!H113&lt;20,"r","a")</f>
        <v>r</v>
      </c>
      <c r="H111" s="38" t="str">
        <f>IF(Sheet1!L113&lt;2.5,"r","a")</f>
        <v>r</v>
      </c>
      <c r="I111" s="38" t="str">
        <f>IF(Sheet1!E113&lt;45,"r","a")</f>
        <v>r</v>
      </c>
      <c r="J111" s="38" t="str">
        <f>IF(Sheet1!I113&lt;15,"r","a")</f>
        <v>r</v>
      </c>
      <c r="K111" s="38" t="str">
        <f>IF(Sheet1!M113&lt;2.5,"r","a")</f>
        <v>r</v>
      </c>
      <c r="L111" s="38" t="str">
        <f>IF(Sheet1!J113&lt;12.5,"r","a")</f>
        <v>r</v>
      </c>
    </row>
    <row r="112" spans="1:12" ht="15.75" customHeight="1" x14ac:dyDescent="0.3">
      <c r="A112" s="37">
        <v>110</v>
      </c>
      <c r="B112" s="37">
        <f>Sheet1!A114</f>
        <v>0</v>
      </c>
      <c r="C112" s="38" t="str">
        <f>IF(Sheet1!C114&lt;50,"r","a")</f>
        <v>r</v>
      </c>
      <c r="D112" s="38" t="str">
        <f>IF(Sheet1!G114&lt;20,"r","a")</f>
        <v>r</v>
      </c>
      <c r="E112" s="38" t="str">
        <f>IF(Sheet1!K114&lt;2.5,"r","a")</f>
        <v>r</v>
      </c>
      <c r="F112" s="38" t="str">
        <f>IF(Sheet1!D114&lt;55,"r","a")</f>
        <v>r</v>
      </c>
      <c r="G112" s="38" t="str">
        <f>IF(Sheet1!H114&lt;20,"r","a")</f>
        <v>r</v>
      </c>
      <c r="H112" s="38" t="str">
        <f>IF(Sheet1!L114&lt;2.5,"r","a")</f>
        <v>r</v>
      </c>
      <c r="I112" s="38" t="str">
        <f>IF(Sheet1!E114&lt;45,"r","a")</f>
        <v>r</v>
      </c>
      <c r="J112" s="38" t="str">
        <f>IF(Sheet1!I114&lt;15,"r","a")</f>
        <v>r</v>
      </c>
      <c r="K112" s="38" t="str">
        <f>IF(Sheet1!M114&lt;2.5,"r","a")</f>
        <v>r</v>
      </c>
      <c r="L112" s="38" t="str">
        <f>IF(Sheet1!J114&lt;12.5,"r","a")</f>
        <v>r</v>
      </c>
    </row>
    <row r="113" spans="1:12" ht="15.75" customHeight="1" x14ac:dyDescent="0.3">
      <c r="A113" s="37">
        <v>111</v>
      </c>
      <c r="B113" s="37">
        <f>Sheet1!A115</f>
        <v>0</v>
      </c>
      <c r="C113" s="38" t="str">
        <f>IF(Sheet1!C115&lt;50,"r","a")</f>
        <v>r</v>
      </c>
      <c r="D113" s="38" t="str">
        <f>IF(Sheet1!G115&lt;20,"r","a")</f>
        <v>r</v>
      </c>
      <c r="E113" s="38" t="str">
        <f>IF(Sheet1!K115&lt;2.5,"r","a")</f>
        <v>r</v>
      </c>
      <c r="F113" s="38" t="str">
        <f>IF(Sheet1!D115&lt;55,"r","a")</f>
        <v>r</v>
      </c>
      <c r="G113" s="38" t="str">
        <f>IF(Sheet1!H115&lt;20,"r","a")</f>
        <v>r</v>
      </c>
      <c r="H113" s="38" t="str">
        <f>IF(Sheet1!L115&lt;2.5,"r","a")</f>
        <v>r</v>
      </c>
      <c r="I113" s="38" t="str">
        <f>IF(Sheet1!E115&lt;45,"r","a")</f>
        <v>r</v>
      </c>
      <c r="J113" s="38" t="str">
        <f>IF(Sheet1!I115&lt;15,"r","a")</f>
        <v>r</v>
      </c>
      <c r="K113" s="38" t="str">
        <f>IF(Sheet1!M115&lt;2.5,"r","a")</f>
        <v>r</v>
      </c>
      <c r="L113" s="38" t="str">
        <f>IF(Sheet1!J115&lt;12.5,"r","a")</f>
        <v>r</v>
      </c>
    </row>
    <row r="114" spans="1:12" ht="15.75" customHeight="1" x14ac:dyDescent="0.3">
      <c r="A114" s="37">
        <v>112</v>
      </c>
      <c r="B114" s="37">
        <f>Sheet1!A116</f>
        <v>0</v>
      </c>
      <c r="C114" s="38" t="str">
        <f>IF(Sheet1!C116&lt;50,"r","a")</f>
        <v>r</v>
      </c>
      <c r="D114" s="38" t="str">
        <f>IF(Sheet1!G116&lt;20,"r","a")</f>
        <v>r</v>
      </c>
      <c r="E114" s="38" t="str">
        <f>IF(Sheet1!K116&lt;2.5,"r","a")</f>
        <v>r</v>
      </c>
      <c r="F114" s="38" t="str">
        <f>IF(Sheet1!D116&lt;55,"r","a")</f>
        <v>r</v>
      </c>
      <c r="G114" s="38" t="str">
        <f>IF(Sheet1!H116&lt;20,"r","a")</f>
        <v>r</v>
      </c>
      <c r="H114" s="38" t="str">
        <f>IF(Sheet1!L116&lt;2.5,"r","a")</f>
        <v>r</v>
      </c>
      <c r="I114" s="38" t="str">
        <f>IF(Sheet1!E116&lt;45,"r","a")</f>
        <v>r</v>
      </c>
      <c r="J114" s="38" t="str">
        <f>IF(Sheet1!I116&lt;15,"r","a")</f>
        <v>r</v>
      </c>
      <c r="K114" s="38" t="str">
        <f>IF(Sheet1!M116&lt;2.5,"r","a")</f>
        <v>r</v>
      </c>
      <c r="L114" s="38" t="str">
        <f>IF(Sheet1!J116&lt;12.5,"r","a")</f>
        <v>r</v>
      </c>
    </row>
    <row r="115" spans="1:12" ht="15.75" customHeight="1" x14ac:dyDescent="0.3">
      <c r="A115" s="37">
        <v>113</v>
      </c>
      <c r="B115" s="37">
        <f>Sheet1!A117</f>
        <v>0</v>
      </c>
      <c r="C115" s="38" t="str">
        <f>IF(Sheet1!C117&lt;50,"r","a")</f>
        <v>r</v>
      </c>
      <c r="D115" s="38" t="str">
        <f>IF(Sheet1!G117&lt;20,"r","a")</f>
        <v>r</v>
      </c>
      <c r="E115" s="38" t="str">
        <f>IF(Sheet1!K117&lt;2.5,"r","a")</f>
        <v>r</v>
      </c>
      <c r="F115" s="38" t="str">
        <f>IF(Sheet1!D117&lt;55,"r","a")</f>
        <v>r</v>
      </c>
      <c r="G115" s="38" t="str">
        <f>IF(Sheet1!H117&lt;20,"r","a")</f>
        <v>r</v>
      </c>
      <c r="H115" s="38" t="str">
        <f>IF(Sheet1!L117&lt;2.5,"r","a")</f>
        <v>r</v>
      </c>
      <c r="I115" s="38" t="str">
        <f>IF(Sheet1!E117&lt;45,"r","a")</f>
        <v>r</v>
      </c>
      <c r="J115" s="38" t="str">
        <f>IF(Sheet1!I117&lt;15,"r","a")</f>
        <v>r</v>
      </c>
      <c r="K115" s="38" t="str">
        <f>IF(Sheet1!M117&lt;2.5,"r","a")</f>
        <v>r</v>
      </c>
      <c r="L115" s="38" t="str">
        <f>IF(Sheet1!J117&lt;12.5,"r","a")</f>
        <v>r</v>
      </c>
    </row>
    <row r="116" spans="1:12" ht="15.75" customHeight="1" x14ac:dyDescent="0.3">
      <c r="A116" s="37">
        <v>114</v>
      </c>
      <c r="B116" s="37">
        <f>Sheet1!A118</f>
        <v>0</v>
      </c>
      <c r="C116" s="38" t="str">
        <f>IF(Sheet1!C118&lt;50,"r","a")</f>
        <v>r</v>
      </c>
      <c r="D116" s="38" t="str">
        <f>IF(Sheet1!G118&lt;20,"r","a")</f>
        <v>r</v>
      </c>
      <c r="E116" s="38" t="str">
        <f>IF(Sheet1!K118&lt;2.5,"r","a")</f>
        <v>r</v>
      </c>
      <c r="F116" s="38" t="str">
        <f>IF(Sheet1!D118&lt;55,"r","a")</f>
        <v>r</v>
      </c>
      <c r="G116" s="38" t="str">
        <f>IF(Sheet1!H118&lt;20,"r","a")</f>
        <v>r</v>
      </c>
      <c r="H116" s="38" t="str">
        <f>IF(Sheet1!L118&lt;2.5,"r","a")</f>
        <v>r</v>
      </c>
      <c r="I116" s="38" t="str">
        <f>IF(Sheet1!E118&lt;45,"r","a")</f>
        <v>r</v>
      </c>
      <c r="J116" s="38" t="str">
        <f>IF(Sheet1!I118&lt;15,"r","a")</f>
        <v>r</v>
      </c>
      <c r="K116" s="38" t="str">
        <f>IF(Sheet1!M118&lt;2.5,"r","a")</f>
        <v>r</v>
      </c>
      <c r="L116" s="38" t="str">
        <f>IF(Sheet1!J118&lt;12.5,"r","a")</f>
        <v>r</v>
      </c>
    </row>
    <row r="117" spans="1:12" ht="15.75" customHeight="1" x14ac:dyDescent="0.3">
      <c r="A117" s="37">
        <v>115</v>
      </c>
      <c r="B117" s="37">
        <f>Sheet1!A119</f>
        <v>0</v>
      </c>
      <c r="C117" s="38" t="str">
        <f>IF(Sheet1!C119&lt;50,"r","a")</f>
        <v>r</v>
      </c>
      <c r="D117" s="38" t="str">
        <f>IF(Sheet1!G119&lt;20,"r","a")</f>
        <v>r</v>
      </c>
      <c r="E117" s="38" t="str">
        <f>IF(Sheet1!K119&lt;2.5,"r","a")</f>
        <v>r</v>
      </c>
      <c r="F117" s="38" t="str">
        <f>IF(Sheet1!D119&lt;55,"r","a")</f>
        <v>r</v>
      </c>
      <c r="G117" s="38" t="str">
        <f>IF(Sheet1!H119&lt;20,"r","a")</f>
        <v>r</v>
      </c>
      <c r="H117" s="38" t="str">
        <f>IF(Sheet1!L119&lt;2.5,"r","a")</f>
        <v>r</v>
      </c>
      <c r="I117" s="38" t="str">
        <f>IF(Sheet1!E119&lt;45,"r","a")</f>
        <v>r</v>
      </c>
      <c r="J117" s="38" t="str">
        <f>IF(Sheet1!I119&lt;15,"r","a")</f>
        <v>r</v>
      </c>
      <c r="K117" s="38" t="str">
        <f>IF(Sheet1!M119&lt;2.5,"r","a")</f>
        <v>r</v>
      </c>
      <c r="L117" s="38" t="str">
        <f>IF(Sheet1!J119&lt;12.5,"r","a")</f>
        <v>r</v>
      </c>
    </row>
    <row r="118" spans="1:12" ht="15.75" customHeight="1" x14ac:dyDescent="0.3">
      <c r="A118" s="37">
        <v>116</v>
      </c>
      <c r="B118" s="37">
        <f>Sheet1!A120</f>
        <v>0</v>
      </c>
      <c r="C118" s="38" t="str">
        <f>IF(Sheet1!C120&lt;50,"r","a")</f>
        <v>r</v>
      </c>
      <c r="D118" s="38" t="str">
        <f>IF(Sheet1!G120&lt;20,"r","a")</f>
        <v>r</v>
      </c>
      <c r="E118" s="38" t="str">
        <f>IF(Sheet1!K120&lt;2.5,"r","a")</f>
        <v>r</v>
      </c>
      <c r="F118" s="38" t="str">
        <f>IF(Sheet1!D120&lt;55,"r","a")</f>
        <v>r</v>
      </c>
      <c r="G118" s="38" t="str">
        <f>IF(Sheet1!H120&lt;20,"r","a")</f>
        <v>r</v>
      </c>
      <c r="H118" s="38" t="str">
        <f>IF(Sheet1!L120&lt;2.5,"r","a")</f>
        <v>r</v>
      </c>
      <c r="I118" s="38" t="str">
        <f>IF(Sheet1!E120&lt;45,"r","a")</f>
        <v>r</v>
      </c>
      <c r="J118" s="38" t="str">
        <f>IF(Sheet1!I120&lt;15,"r","a")</f>
        <v>r</v>
      </c>
      <c r="K118" s="38" t="str">
        <f>IF(Sheet1!M120&lt;2.5,"r","a")</f>
        <v>r</v>
      </c>
      <c r="L118" s="38" t="str">
        <f>IF(Sheet1!J120&lt;12.5,"r","a")</f>
        <v>r</v>
      </c>
    </row>
    <row r="119" spans="1:12" ht="15.75" customHeight="1" x14ac:dyDescent="0.3">
      <c r="A119" s="37">
        <v>117</v>
      </c>
      <c r="B119" s="37">
        <f>Sheet1!A121</f>
        <v>0</v>
      </c>
      <c r="C119" s="38" t="str">
        <f>IF(Sheet1!C121&lt;50,"r","a")</f>
        <v>r</v>
      </c>
      <c r="D119" s="38" t="str">
        <f>IF(Sheet1!G121&lt;20,"r","a")</f>
        <v>r</v>
      </c>
      <c r="E119" s="38" t="str">
        <f>IF(Sheet1!K121&lt;2.5,"r","a")</f>
        <v>r</v>
      </c>
      <c r="F119" s="38" t="str">
        <f>IF(Sheet1!D121&lt;55,"r","a")</f>
        <v>r</v>
      </c>
      <c r="G119" s="38" t="str">
        <f>IF(Sheet1!H121&lt;20,"r","a")</f>
        <v>r</v>
      </c>
      <c r="H119" s="38" t="str">
        <f>IF(Sheet1!L121&lt;2.5,"r","a")</f>
        <v>r</v>
      </c>
      <c r="I119" s="38" t="str">
        <f>IF(Sheet1!E121&lt;45,"r","a")</f>
        <v>r</v>
      </c>
      <c r="J119" s="38" t="str">
        <f>IF(Sheet1!I121&lt;15,"r","a")</f>
        <v>r</v>
      </c>
      <c r="K119" s="38" t="str">
        <f>IF(Sheet1!M121&lt;2.5,"r","a")</f>
        <v>r</v>
      </c>
      <c r="L119" s="38" t="str">
        <f>IF(Sheet1!J121&lt;12.5,"r","a")</f>
        <v>r</v>
      </c>
    </row>
    <row r="120" spans="1:12" ht="15.75" customHeight="1" x14ac:dyDescent="0.3">
      <c r="A120" s="37">
        <v>118</v>
      </c>
      <c r="B120" s="37">
        <f>Sheet1!A122</f>
        <v>0</v>
      </c>
      <c r="C120" s="38" t="str">
        <f>IF(Sheet1!C122&lt;50,"r","a")</f>
        <v>r</v>
      </c>
      <c r="D120" s="38" t="str">
        <f>IF(Sheet1!G122&lt;20,"r","a")</f>
        <v>r</v>
      </c>
      <c r="E120" s="38" t="str">
        <f>IF(Sheet1!K122&lt;2.5,"r","a")</f>
        <v>r</v>
      </c>
      <c r="F120" s="38" t="str">
        <f>IF(Sheet1!D122&lt;55,"r","a")</f>
        <v>r</v>
      </c>
      <c r="G120" s="38" t="str">
        <f>IF(Sheet1!H122&lt;20,"r","a")</f>
        <v>r</v>
      </c>
      <c r="H120" s="38" t="str">
        <f>IF(Sheet1!L122&lt;2.5,"r","a")</f>
        <v>r</v>
      </c>
      <c r="I120" s="38" t="str">
        <f>IF(Sheet1!E122&lt;45,"r","a")</f>
        <v>r</v>
      </c>
      <c r="J120" s="38" t="str">
        <f>IF(Sheet1!I122&lt;15,"r","a")</f>
        <v>r</v>
      </c>
      <c r="K120" s="38" t="str">
        <f>IF(Sheet1!M122&lt;2.5,"r","a")</f>
        <v>r</v>
      </c>
      <c r="L120" s="38" t="str">
        <f>IF(Sheet1!J122&lt;12.5,"r","a")</f>
        <v>r</v>
      </c>
    </row>
    <row r="121" spans="1:12" ht="15.75" customHeight="1" x14ac:dyDescent="0.3">
      <c r="A121" s="37">
        <v>119</v>
      </c>
      <c r="B121" s="37">
        <f>Sheet1!A123</f>
        <v>0</v>
      </c>
      <c r="C121" s="38" t="str">
        <f>IF(Sheet1!C123&lt;50,"r","a")</f>
        <v>r</v>
      </c>
      <c r="D121" s="38" t="str">
        <f>IF(Sheet1!G123&lt;20,"r","a")</f>
        <v>r</v>
      </c>
      <c r="E121" s="38" t="str">
        <f>IF(Sheet1!K123&lt;2.5,"r","a")</f>
        <v>r</v>
      </c>
      <c r="F121" s="38" t="str">
        <f>IF(Sheet1!D123&lt;55,"r","a")</f>
        <v>r</v>
      </c>
      <c r="G121" s="38" t="str">
        <f>IF(Sheet1!H123&lt;20,"r","a")</f>
        <v>r</v>
      </c>
      <c r="H121" s="38" t="str">
        <f>IF(Sheet1!L123&lt;2.5,"r","a")</f>
        <v>r</v>
      </c>
      <c r="I121" s="38" t="str">
        <f>IF(Sheet1!E123&lt;45,"r","a")</f>
        <v>r</v>
      </c>
      <c r="J121" s="38" t="str">
        <f>IF(Sheet1!I123&lt;15,"r","a")</f>
        <v>r</v>
      </c>
      <c r="K121" s="38" t="str">
        <f>IF(Sheet1!M123&lt;2.5,"r","a")</f>
        <v>r</v>
      </c>
      <c r="L121" s="38" t="str">
        <f>IF(Sheet1!J123&lt;12.5,"r","a")</f>
        <v>r</v>
      </c>
    </row>
    <row r="122" spans="1:12" ht="15.75" customHeight="1" x14ac:dyDescent="0.3">
      <c r="A122" s="37">
        <v>120</v>
      </c>
      <c r="B122" s="37">
        <f>Sheet1!A124</f>
        <v>0</v>
      </c>
      <c r="C122" s="38" t="str">
        <f>IF(Sheet1!C124&lt;50,"r","a")</f>
        <v>r</v>
      </c>
      <c r="D122" s="38" t="str">
        <f>IF(Sheet1!G124&lt;20,"r","a")</f>
        <v>r</v>
      </c>
      <c r="E122" s="38" t="str">
        <f>IF(Sheet1!K124&lt;2.5,"r","a")</f>
        <v>r</v>
      </c>
      <c r="F122" s="38" t="str">
        <f>IF(Sheet1!D124&lt;55,"r","a")</f>
        <v>r</v>
      </c>
      <c r="G122" s="38" t="str">
        <f>IF(Sheet1!H124&lt;20,"r","a")</f>
        <v>r</v>
      </c>
      <c r="H122" s="38" t="str">
        <f>IF(Sheet1!L124&lt;2.5,"r","a")</f>
        <v>r</v>
      </c>
      <c r="I122" s="38" t="str">
        <f>IF(Sheet1!E124&lt;45,"r","a")</f>
        <v>r</v>
      </c>
      <c r="J122" s="38" t="str">
        <f>IF(Sheet1!I124&lt;15,"r","a")</f>
        <v>r</v>
      </c>
      <c r="K122" s="38" t="str">
        <f>IF(Sheet1!M124&lt;2.5,"r","a")</f>
        <v>r</v>
      </c>
      <c r="L122" s="38" t="str">
        <f>IF(Sheet1!J124&lt;12.5,"r","a")</f>
        <v>r</v>
      </c>
    </row>
    <row r="123" spans="1:12" ht="15.75" customHeight="1" x14ac:dyDescent="0.3">
      <c r="A123" s="37">
        <v>121</v>
      </c>
      <c r="B123" s="37">
        <f>Sheet1!A125</f>
        <v>0</v>
      </c>
      <c r="C123" s="38" t="str">
        <f>IF(Sheet1!C125&lt;50,"r","a")</f>
        <v>r</v>
      </c>
      <c r="D123" s="38" t="str">
        <f>IF(Sheet1!G125&lt;20,"r","a")</f>
        <v>r</v>
      </c>
      <c r="E123" s="38" t="str">
        <f>IF(Sheet1!K125&lt;2.5,"r","a")</f>
        <v>r</v>
      </c>
      <c r="F123" s="38" t="str">
        <f>IF(Sheet1!D125&lt;55,"r","a")</f>
        <v>r</v>
      </c>
      <c r="G123" s="38" t="str">
        <f>IF(Sheet1!H125&lt;20,"r","a")</f>
        <v>r</v>
      </c>
      <c r="H123" s="38" t="str">
        <f>IF(Sheet1!L125&lt;2.5,"r","a")</f>
        <v>r</v>
      </c>
      <c r="I123" s="38" t="str">
        <f>IF(Sheet1!E125&lt;45,"r","a")</f>
        <v>r</v>
      </c>
      <c r="J123" s="38" t="str">
        <f>IF(Sheet1!I125&lt;15,"r","a")</f>
        <v>r</v>
      </c>
      <c r="K123" s="38" t="str">
        <f>IF(Sheet1!M125&lt;2.5,"r","a")</f>
        <v>r</v>
      </c>
      <c r="L123" s="38" t="str">
        <f>IF(Sheet1!J125&lt;12.5,"r","a")</f>
        <v>r</v>
      </c>
    </row>
    <row r="124" spans="1:12" ht="15.75" customHeight="1" x14ac:dyDescent="0.3">
      <c r="A124" s="37">
        <v>122</v>
      </c>
      <c r="B124" s="37">
        <f>Sheet1!A126</f>
        <v>0</v>
      </c>
      <c r="C124" s="38" t="str">
        <f>IF(Sheet1!C126&lt;50,"r","a")</f>
        <v>r</v>
      </c>
      <c r="D124" s="38" t="str">
        <f>IF(Sheet1!G126&lt;20,"r","a")</f>
        <v>r</v>
      </c>
      <c r="E124" s="38" t="str">
        <f>IF(Sheet1!K126&lt;2.5,"r","a")</f>
        <v>r</v>
      </c>
      <c r="F124" s="38" t="str">
        <f>IF(Sheet1!D126&lt;55,"r","a")</f>
        <v>r</v>
      </c>
      <c r="G124" s="38" t="str">
        <f>IF(Sheet1!H126&lt;20,"r","a")</f>
        <v>r</v>
      </c>
      <c r="H124" s="38" t="str">
        <f>IF(Sheet1!L126&lt;2.5,"r","a")</f>
        <v>r</v>
      </c>
      <c r="I124" s="38" t="str">
        <f>IF(Sheet1!E126&lt;45,"r","a")</f>
        <v>r</v>
      </c>
      <c r="J124" s="38" t="str">
        <f>IF(Sheet1!I126&lt;15,"r","a")</f>
        <v>r</v>
      </c>
      <c r="K124" s="38" t="str">
        <f>IF(Sheet1!M126&lt;2.5,"r","a")</f>
        <v>r</v>
      </c>
      <c r="L124" s="38" t="str">
        <f>IF(Sheet1!J126&lt;12.5,"r","a")</f>
        <v>r</v>
      </c>
    </row>
    <row r="125" spans="1:12" ht="15.75" customHeight="1" x14ac:dyDescent="0.3">
      <c r="A125" s="37">
        <v>123</v>
      </c>
      <c r="B125" s="37">
        <f>Sheet1!A127</f>
        <v>0</v>
      </c>
      <c r="C125" s="38" t="str">
        <f>IF(Sheet1!C127&lt;50,"r","a")</f>
        <v>r</v>
      </c>
      <c r="D125" s="38" t="str">
        <f>IF(Sheet1!G127&lt;20,"r","a")</f>
        <v>r</v>
      </c>
      <c r="E125" s="38" t="str">
        <f>IF(Sheet1!K127&lt;2.5,"r","a")</f>
        <v>r</v>
      </c>
      <c r="F125" s="38" t="str">
        <f>IF(Sheet1!D127&lt;55,"r","a")</f>
        <v>r</v>
      </c>
      <c r="G125" s="38" t="str">
        <f>IF(Sheet1!H127&lt;20,"r","a")</f>
        <v>r</v>
      </c>
      <c r="H125" s="38" t="str">
        <f>IF(Sheet1!L127&lt;2.5,"r","a")</f>
        <v>r</v>
      </c>
      <c r="I125" s="38" t="str">
        <f>IF(Sheet1!E127&lt;45,"r","a")</f>
        <v>r</v>
      </c>
      <c r="J125" s="38" t="str">
        <f>IF(Sheet1!I127&lt;15,"r","a")</f>
        <v>r</v>
      </c>
      <c r="K125" s="38" t="str">
        <f>IF(Sheet1!M127&lt;2.5,"r","a")</f>
        <v>r</v>
      </c>
      <c r="L125" s="38" t="str">
        <f>IF(Sheet1!J127&lt;12.5,"r","a")</f>
        <v>r</v>
      </c>
    </row>
    <row r="126" spans="1:12" ht="15.75" customHeight="1" x14ac:dyDescent="0.3">
      <c r="A126" s="37">
        <v>124</v>
      </c>
      <c r="B126" s="37">
        <f>Sheet1!A128</f>
        <v>0</v>
      </c>
      <c r="C126" s="38" t="str">
        <f>IF(Sheet1!C128&lt;50,"r","a")</f>
        <v>r</v>
      </c>
      <c r="D126" s="38" t="str">
        <f>IF(Sheet1!G128&lt;20,"r","a")</f>
        <v>r</v>
      </c>
      <c r="E126" s="38" t="str">
        <f>IF(Sheet1!K128&lt;2.5,"r","a")</f>
        <v>r</v>
      </c>
      <c r="F126" s="38" t="str">
        <f>IF(Sheet1!D128&lt;55,"r","a")</f>
        <v>r</v>
      </c>
      <c r="G126" s="38" t="str">
        <f>IF(Sheet1!H128&lt;20,"r","a")</f>
        <v>r</v>
      </c>
      <c r="H126" s="38" t="str">
        <f>IF(Sheet1!L128&lt;2.5,"r","a")</f>
        <v>r</v>
      </c>
      <c r="I126" s="38" t="str">
        <f>IF(Sheet1!E128&lt;45,"r","a")</f>
        <v>r</v>
      </c>
      <c r="J126" s="38" t="str">
        <f>IF(Sheet1!I128&lt;15,"r","a")</f>
        <v>r</v>
      </c>
      <c r="K126" s="38" t="str">
        <f>IF(Sheet1!M128&lt;2.5,"r","a")</f>
        <v>r</v>
      </c>
      <c r="L126" s="38" t="str">
        <f>IF(Sheet1!J128&lt;12.5,"r","a")</f>
        <v>r</v>
      </c>
    </row>
    <row r="127" spans="1:12" ht="15.75" customHeight="1" x14ac:dyDescent="0.3">
      <c r="A127" s="37">
        <v>125</v>
      </c>
      <c r="B127" s="37">
        <f>Sheet1!A129</f>
        <v>0</v>
      </c>
      <c r="C127" s="38" t="str">
        <f>IF(Sheet1!C129&lt;50,"r","a")</f>
        <v>r</v>
      </c>
      <c r="D127" s="38" t="str">
        <f>IF(Sheet1!G129&lt;20,"r","a")</f>
        <v>r</v>
      </c>
      <c r="E127" s="38" t="str">
        <f>IF(Sheet1!K129&lt;2.5,"r","a")</f>
        <v>r</v>
      </c>
      <c r="F127" s="38" t="str">
        <f>IF(Sheet1!D129&lt;55,"r","a")</f>
        <v>r</v>
      </c>
      <c r="G127" s="38" t="str">
        <f>IF(Sheet1!H129&lt;20,"r","a")</f>
        <v>r</v>
      </c>
      <c r="H127" s="38" t="str">
        <f>IF(Sheet1!L129&lt;2.5,"r","a")</f>
        <v>r</v>
      </c>
      <c r="I127" s="38" t="str">
        <f>IF(Sheet1!E129&lt;45,"r","a")</f>
        <v>r</v>
      </c>
      <c r="J127" s="38" t="str">
        <f>IF(Sheet1!I129&lt;15,"r","a")</f>
        <v>r</v>
      </c>
      <c r="K127" s="38" t="str">
        <f>IF(Sheet1!M129&lt;2.5,"r","a")</f>
        <v>r</v>
      </c>
      <c r="L127" s="38" t="str">
        <f>IF(Sheet1!J129&lt;12.5,"r","a")</f>
        <v>r</v>
      </c>
    </row>
    <row r="128" spans="1:12" ht="15.75" customHeight="1" x14ac:dyDescent="0.3">
      <c r="A128" s="37">
        <v>126</v>
      </c>
      <c r="B128" s="37">
        <f>Sheet1!A130</f>
        <v>0</v>
      </c>
      <c r="C128" s="38" t="str">
        <f>IF(Sheet1!C130&lt;50,"r","a")</f>
        <v>r</v>
      </c>
      <c r="D128" s="38" t="str">
        <f>IF(Sheet1!G130&lt;20,"r","a")</f>
        <v>r</v>
      </c>
      <c r="E128" s="38" t="str">
        <f>IF(Sheet1!K130&lt;2.5,"r","a")</f>
        <v>r</v>
      </c>
      <c r="F128" s="38" t="str">
        <f>IF(Sheet1!D130&lt;55,"r","a")</f>
        <v>r</v>
      </c>
      <c r="G128" s="38" t="str">
        <f>IF(Sheet1!H130&lt;20,"r","a")</f>
        <v>r</v>
      </c>
      <c r="H128" s="38" t="str">
        <f>IF(Sheet1!L130&lt;2.5,"r","a")</f>
        <v>r</v>
      </c>
      <c r="I128" s="38" t="str">
        <f>IF(Sheet1!E130&lt;45,"r","a")</f>
        <v>r</v>
      </c>
      <c r="J128" s="38" t="str">
        <f>IF(Sheet1!I130&lt;15,"r","a")</f>
        <v>r</v>
      </c>
      <c r="K128" s="38" t="str">
        <f>IF(Sheet1!M130&lt;2.5,"r","a")</f>
        <v>r</v>
      </c>
      <c r="L128" s="38" t="str">
        <f>IF(Sheet1!J130&lt;12.5,"r","a")</f>
        <v>r</v>
      </c>
    </row>
    <row r="129" spans="1:12" ht="15.75" customHeight="1" x14ac:dyDescent="0.3">
      <c r="A129" s="37">
        <v>127</v>
      </c>
      <c r="B129" s="37">
        <f>Sheet1!A131</f>
        <v>0</v>
      </c>
      <c r="C129" s="38" t="str">
        <f>IF(Sheet1!C131&lt;50,"r","a")</f>
        <v>r</v>
      </c>
      <c r="D129" s="38" t="str">
        <f>IF(Sheet1!G131&lt;20,"r","a")</f>
        <v>r</v>
      </c>
      <c r="E129" s="38" t="str">
        <f>IF(Sheet1!K131&lt;2.5,"r","a")</f>
        <v>r</v>
      </c>
      <c r="F129" s="38" t="str">
        <f>IF(Sheet1!D131&lt;55,"r","a")</f>
        <v>r</v>
      </c>
      <c r="G129" s="38" t="str">
        <f>IF(Sheet1!H131&lt;20,"r","a")</f>
        <v>r</v>
      </c>
      <c r="H129" s="38" t="str">
        <f>IF(Sheet1!L131&lt;2.5,"r","a")</f>
        <v>r</v>
      </c>
      <c r="I129" s="38" t="str">
        <f>IF(Sheet1!E131&lt;45,"r","a")</f>
        <v>r</v>
      </c>
      <c r="J129" s="38" t="str">
        <f>IF(Sheet1!I131&lt;15,"r","a")</f>
        <v>r</v>
      </c>
      <c r="K129" s="38" t="str">
        <f>IF(Sheet1!M131&lt;2.5,"r","a")</f>
        <v>r</v>
      </c>
      <c r="L129" s="38" t="str">
        <f>IF(Sheet1!J131&lt;12.5,"r","a")</f>
        <v>r</v>
      </c>
    </row>
    <row r="130" spans="1:12" ht="15.75" customHeight="1" x14ac:dyDescent="0.3">
      <c r="A130" s="37">
        <v>128</v>
      </c>
      <c r="B130" s="37">
        <f>Sheet1!A132</f>
        <v>0</v>
      </c>
      <c r="C130" s="38" t="str">
        <f>IF(Sheet1!C132&lt;50,"r","a")</f>
        <v>r</v>
      </c>
      <c r="D130" s="38" t="str">
        <f>IF(Sheet1!G132&lt;20,"r","a")</f>
        <v>r</v>
      </c>
      <c r="E130" s="38" t="str">
        <f>IF(Sheet1!K132&lt;2.5,"r","a")</f>
        <v>r</v>
      </c>
      <c r="F130" s="38" t="str">
        <f>IF(Sheet1!D132&lt;55,"r","a")</f>
        <v>r</v>
      </c>
      <c r="G130" s="38" t="str">
        <f>IF(Sheet1!H132&lt;20,"r","a")</f>
        <v>r</v>
      </c>
      <c r="H130" s="38" t="str">
        <f>IF(Sheet1!L132&lt;2.5,"r","a")</f>
        <v>r</v>
      </c>
      <c r="I130" s="38" t="str">
        <f>IF(Sheet1!E132&lt;45,"r","a")</f>
        <v>r</v>
      </c>
      <c r="J130" s="38" t="str">
        <f>IF(Sheet1!I132&lt;15,"r","a")</f>
        <v>r</v>
      </c>
      <c r="K130" s="38" t="str">
        <f>IF(Sheet1!M132&lt;2.5,"r","a")</f>
        <v>r</v>
      </c>
      <c r="L130" s="38" t="str">
        <f>IF(Sheet1!J132&lt;12.5,"r","a")</f>
        <v>r</v>
      </c>
    </row>
    <row r="131" spans="1:12" ht="15.75" customHeight="1" x14ac:dyDescent="0.3">
      <c r="A131" s="37">
        <v>129</v>
      </c>
      <c r="B131" s="37">
        <f>Sheet1!A133</f>
        <v>0</v>
      </c>
      <c r="C131" s="38" t="str">
        <f>IF(Sheet1!C133&lt;50,"r","a")</f>
        <v>r</v>
      </c>
      <c r="D131" s="38" t="str">
        <f>IF(Sheet1!G133&lt;20,"r","a")</f>
        <v>r</v>
      </c>
      <c r="E131" s="38" t="str">
        <f>IF(Sheet1!K133&lt;2.5,"r","a")</f>
        <v>r</v>
      </c>
      <c r="F131" s="38" t="str">
        <f>IF(Sheet1!D133&lt;55,"r","a")</f>
        <v>r</v>
      </c>
      <c r="G131" s="38" t="str">
        <f>IF(Sheet1!H133&lt;20,"r","a")</f>
        <v>r</v>
      </c>
      <c r="H131" s="38" t="str">
        <f>IF(Sheet1!L133&lt;2.5,"r","a")</f>
        <v>r</v>
      </c>
      <c r="I131" s="38" t="str">
        <f>IF(Sheet1!E133&lt;45,"r","a")</f>
        <v>r</v>
      </c>
      <c r="J131" s="38" t="str">
        <f>IF(Sheet1!I133&lt;15,"r","a")</f>
        <v>r</v>
      </c>
      <c r="K131" s="38" t="str">
        <f>IF(Sheet1!M133&lt;2.5,"r","a")</f>
        <v>r</v>
      </c>
      <c r="L131" s="38" t="str">
        <f>IF(Sheet1!J133&lt;12.5,"r","a")</f>
        <v>r</v>
      </c>
    </row>
    <row r="132" spans="1:12" ht="15.75" customHeight="1" x14ac:dyDescent="0.3">
      <c r="A132" s="37">
        <v>130</v>
      </c>
      <c r="B132" s="37">
        <f>Sheet1!A134</f>
        <v>0</v>
      </c>
      <c r="C132" s="38" t="str">
        <f>IF(Sheet1!C134&lt;50,"r","a")</f>
        <v>r</v>
      </c>
      <c r="D132" s="38" t="str">
        <f>IF(Sheet1!G134&lt;20,"r","a")</f>
        <v>r</v>
      </c>
      <c r="E132" s="38" t="str">
        <f>IF(Sheet1!K134&lt;2.5,"r","a")</f>
        <v>r</v>
      </c>
      <c r="F132" s="38" t="str">
        <f>IF(Sheet1!D134&lt;55,"r","a")</f>
        <v>r</v>
      </c>
      <c r="G132" s="38" t="str">
        <f>IF(Sheet1!H134&lt;20,"r","a")</f>
        <v>r</v>
      </c>
      <c r="H132" s="38" t="str">
        <f>IF(Sheet1!L134&lt;2.5,"r","a")</f>
        <v>r</v>
      </c>
      <c r="I132" s="38" t="str">
        <f>IF(Sheet1!E134&lt;45,"r","a")</f>
        <v>r</v>
      </c>
      <c r="J132" s="38" t="str">
        <f>IF(Sheet1!I134&lt;15,"r","a")</f>
        <v>r</v>
      </c>
      <c r="K132" s="38" t="str">
        <f>IF(Sheet1!M134&lt;2.5,"r","a")</f>
        <v>r</v>
      </c>
      <c r="L132" s="38" t="str">
        <f>IF(Sheet1!J134&lt;12.5,"r","a")</f>
        <v>r</v>
      </c>
    </row>
    <row r="133" spans="1:12" ht="15.75" customHeight="1" x14ac:dyDescent="0.3">
      <c r="A133" s="37">
        <v>131</v>
      </c>
      <c r="B133" s="37">
        <f>Sheet1!A135</f>
        <v>0</v>
      </c>
      <c r="C133" s="38" t="str">
        <f>IF(Sheet1!C135&lt;50,"r","a")</f>
        <v>r</v>
      </c>
      <c r="D133" s="38" t="str">
        <f>IF(Sheet1!G135&lt;20,"r","a")</f>
        <v>r</v>
      </c>
      <c r="E133" s="38" t="str">
        <f>IF(Sheet1!K135&lt;2.5,"r","a")</f>
        <v>r</v>
      </c>
      <c r="F133" s="38" t="str">
        <f>IF(Sheet1!D135&lt;55,"r","a")</f>
        <v>r</v>
      </c>
      <c r="G133" s="38" t="str">
        <f>IF(Sheet1!H135&lt;20,"r","a")</f>
        <v>r</v>
      </c>
      <c r="H133" s="38" t="str">
        <f>IF(Sheet1!L135&lt;2.5,"r","a")</f>
        <v>r</v>
      </c>
      <c r="I133" s="38" t="str">
        <f>IF(Sheet1!E135&lt;45,"r","a")</f>
        <v>r</v>
      </c>
      <c r="J133" s="38" t="str">
        <f>IF(Sheet1!I135&lt;15,"r","a")</f>
        <v>r</v>
      </c>
      <c r="K133" s="38" t="str">
        <f>IF(Sheet1!M135&lt;2.5,"r","a")</f>
        <v>r</v>
      </c>
      <c r="L133" s="38" t="str">
        <f>IF(Sheet1!J135&lt;12.5,"r","a")</f>
        <v>r</v>
      </c>
    </row>
    <row r="134" spans="1:12" ht="15.75" customHeight="1" x14ac:dyDescent="0.3">
      <c r="A134" s="37">
        <v>132</v>
      </c>
      <c r="B134" s="37">
        <f>Sheet1!A136</f>
        <v>0</v>
      </c>
      <c r="C134" s="38" t="str">
        <f>IF(Sheet1!C136&lt;50,"r","a")</f>
        <v>r</v>
      </c>
      <c r="D134" s="38" t="str">
        <f>IF(Sheet1!G136&lt;20,"r","a")</f>
        <v>r</v>
      </c>
      <c r="E134" s="38" t="str">
        <f>IF(Sheet1!K136&lt;2.5,"r","a")</f>
        <v>r</v>
      </c>
      <c r="F134" s="38" t="str">
        <f>IF(Sheet1!D136&lt;55,"r","a")</f>
        <v>r</v>
      </c>
      <c r="G134" s="38" t="str">
        <f>IF(Sheet1!H136&lt;20,"r","a")</f>
        <v>r</v>
      </c>
      <c r="H134" s="38" t="str">
        <f>IF(Sheet1!L136&lt;2.5,"r","a")</f>
        <v>r</v>
      </c>
      <c r="I134" s="38" t="str">
        <f>IF(Sheet1!E136&lt;45,"r","a")</f>
        <v>r</v>
      </c>
      <c r="J134" s="38" t="str">
        <f>IF(Sheet1!I136&lt;15,"r","a")</f>
        <v>r</v>
      </c>
      <c r="K134" s="38" t="str">
        <f>IF(Sheet1!M136&lt;2.5,"r","a")</f>
        <v>r</v>
      </c>
      <c r="L134" s="38" t="str">
        <f>IF(Sheet1!J136&lt;12.5,"r","a")</f>
        <v>r</v>
      </c>
    </row>
    <row r="135" spans="1:12" ht="15.75" customHeight="1" x14ac:dyDescent="0.3">
      <c r="A135" s="37">
        <v>133</v>
      </c>
      <c r="B135" s="37">
        <f>Sheet1!A137</f>
        <v>0</v>
      </c>
      <c r="C135" s="38" t="str">
        <f>IF(Sheet1!C137&lt;50,"r","a")</f>
        <v>r</v>
      </c>
      <c r="D135" s="38" t="str">
        <f>IF(Sheet1!G137&lt;20,"r","a")</f>
        <v>r</v>
      </c>
      <c r="E135" s="38" t="str">
        <f>IF(Sheet1!K137&lt;2.5,"r","a")</f>
        <v>r</v>
      </c>
      <c r="F135" s="38" t="str">
        <f>IF(Sheet1!D137&lt;55,"r","a")</f>
        <v>r</v>
      </c>
      <c r="G135" s="38" t="str">
        <f>IF(Sheet1!H137&lt;20,"r","a")</f>
        <v>r</v>
      </c>
      <c r="H135" s="38" t="str">
        <f>IF(Sheet1!L137&lt;2.5,"r","a")</f>
        <v>r</v>
      </c>
      <c r="I135" s="38" t="str">
        <f>IF(Sheet1!E137&lt;45,"r","a")</f>
        <v>r</v>
      </c>
      <c r="J135" s="38" t="str">
        <f>IF(Sheet1!I137&lt;15,"r","a")</f>
        <v>r</v>
      </c>
      <c r="K135" s="38" t="str">
        <f>IF(Sheet1!M137&lt;2.5,"r","a")</f>
        <v>r</v>
      </c>
      <c r="L135" s="38" t="str">
        <f>IF(Sheet1!J137&lt;12.5,"r","a")</f>
        <v>r</v>
      </c>
    </row>
    <row r="136" spans="1:12" ht="15.75" customHeight="1" x14ac:dyDescent="0.3">
      <c r="A136" s="37">
        <v>134</v>
      </c>
      <c r="B136" s="37">
        <f>Sheet1!A138</f>
        <v>0</v>
      </c>
      <c r="C136" s="38" t="str">
        <f>IF(Sheet1!C138&lt;50,"r","a")</f>
        <v>r</v>
      </c>
      <c r="D136" s="38" t="str">
        <f>IF(Sheet1!G138&lt;20,"r","a")</f>
        <v>r</v>
      </c>
      <c r="E136" s="38" t="str">
        <f>IF(Sheet1!K138&lt;2.5,"r","a")</f>
        <v>r</v>
      </c>
      <c r="F136" s="38" t="str">
        <f>IF(Sheet1!D138&lt;55,"r","a")</f>
        <v>r</v>
      </c>
      <c r="G136" s="38" t="str">
        <f>IF(Sheet1!H138&lt;20,"r","a")</f>
        <v>r</v>
      </c>
      <c r="H136" s="38" t="str">
        <f>IF(Sheet1!L138&lt;2.5,"r","a")</f>
        <v>r</v>
      </c>
      <c r="I136" s="38" t="str">
        <f>IF(Sheet1!E138&lt;45,"r","a")</f>
        <v>r</v>
      </c>
      <c r="J136" s="38" t="str">
        <f>IF(Sheet1!I138&lt;15,"r","a")</f>
        <v>r</v>
      </c>
      <c r="K136" s="38" t="str">
        <f>IF(Sheet1!M138&lt;2.5,"r","a")</f>
        <v>r</v>
      </c>
      <c r="L136" s="38" t="str">
        <f>IF(Sheet1!J138&lt;12.5,"r","a")</f>
        <v>r</v>
      </c>
    </row>
    <row r="137" spans="1:12" ht="15.75" customHeight="1" x14ac:dyDescent="0.3">
      <c r="A137" s="37">
        <v>135</v>
      </c>
      <c r="B137" s="37">
        <f>Sheet1!A139</f>
        <v>0</v>
      </c>
      <c r="C137" s="38" t="str">
        <f>IF(Sheet1!C139&lt;50,"r","a")</f>
        <v>r</v>
      </c>
      <c r="D137" s="38" t="str">
        <f>IF(Sheet1!G139&lt;20,"r","a")</f>
        <v>r</v>
      </c>
      <c r="E137" s="38" t="str">
        <f>IF(Sheet1!K139&lt;2.5,"r","a")</f>
        <v>r</v>
      </c>
      <c r="F137" s="38" t="str">
        <f>IF(Sheet1!D139&lt;55,"r","a")</f>
        <v>r</v>
      </c>
      <c r="G137" s="38" t="str">
        <f>IF(Sheet1!H139&lt;20,"r","a")</f>
        <v>r</v>
      </c>
      <c r="H137" s="38" t="str">
        <f>IF(Sheet1!L139&lt;2.5,"r","a")</f>
        <v>r</v>
      </c>
      <c r="I137" s="38" t="str">
        <f>IF(Sheet1!E139&lt;45,"r","a")</f>
        <v>r</v>
      </c>
      <c r="J137" s="38" t="str">
        <f>IF(Sheet1!I139&lt;15,"r","a")</f>
        <v>r</v>
      </c>
      <c r="K137" s="38" t="str">
        <f>IF(Sheet1!M139&lt;2.5,"r","a")</f>
        <v>r</v>
      </c>
      <c r="L137" s="38" t="str">
        <f>IF(Sheet1!J139&lt;12.5,"r","a")</f>
        <v>r</v>
      </c>
    </row>
    <row r="138" spans="1:12" ht="15.75" customHeight="1" x14ac:dyDescent="0.3">
      <c r="A138" s="37">
        <v>136</v>
      </c>
      <c r="B138" s="37">
        <f>Sheet1!A140</f>
        <v>0</v>
      </c>
      <c r="C138" s="38" t="str">
        <f>IF(Sheet1!C140&lt;50,"r","a")</f>
        <v>r</v>
      </c>
      <c r="D138" s="38" t="str">
        <f>IF(Sheet1!G140&lt;20,"r","a")</f>
        <v>r</v>
      </c>
      <c r="E138" s="38" t="str">
        <f>IF(Sheet1!K140&lt;2.5,"r","a")</f>
        <v>r</v>
      </c>
      <c r="F138" s="38" t="str">
        <f>IF(Sheet1!D140&lt;55,"r","a")</f>
        <v>r</v>
      </c>
      <c r="G138" s="38" t="str">
        <f>IF(Sheet1!H140&lt;20,"r","a")</f>
        <v>r</v>
      </c>
      <c r="H138" s="38" t="str">
        <f>IF(Sheet1!L140&lt;2.5,"r","a")</f>
        <v>r</v>
      </c>
      <c r="I138" s="38" t="str">
        <f>IF(Sheet1!E140&lt;45,"r","a")</f>
        <v>r</v>
      </c>
      <c r="J138" s="38" t="str">
        <f>IF(Sheet1!I140&lt;15,"r","a")</f>
        <v>r</v>
      </c>
      <c r="K138" s="38" t="str">
        <f>IF(Sheet1!M140&lt;2.5,"r","a")</f>
        <v>r</v>
      </c>
      <c r="L138" s="38" t="str">
        <f>IF(Sheet1!J140&lt;12.5,"r","a")</f>
        <v>r</v>
      </c>
    </row>
    <row r="139" spans="1:12" ht="15.75" customHeight="1" x14ac:dyDescent="0.3">
      <c r="A139" s="37">
        <v>137</v>
      </c>
      <c r="B139" s="37">
        <f>Sheet1!A141</f>
        <v>0</v>
      </c>
      <c r="C139" s="38" t="str">
        <f>IF(Sheet1!C141&lt;50,"r","a")</f>
        <v>r</v>
      </c>
      <c r="D139" s="38" t="str">
        <f>IF(Sheet1!G141&lt;20,"r","a")</f>
        <v>r</v>
      </c>
      <c r="E139" s="38" t="str">
        <f>IF(Sheet1!K141&lt;2.5,"r","a")</f>
        <v>r</v>
      </c>
      <c r="F139" s="38" t="str">
        <f>IF(Sheet1!D141&lt;55,"r","a")</f>
        <v>r</v>
      </c>
      <c r="G139" s="38" t="str">
        <f>IF(Sheet1!H141&lt;20,"r","a")</f>
        <v>r</v>
      </c>
      <c r="H139" s="38" t="str">
        <f>IF(Sheet1!L141&lt;2.5,"r","a")</f>
        <v>r</v>
      </c>
      <c r="I139" s="38" t="str">
        <f>IF(Sheet1!E141&lt;45,"r","a")</f>
        <v>r</v>
      </c>
      <c r="J139" s="38" t="str">
        <f>IF(Sheet1!I141&lt;15,"r","a")</f>
        <v>r</v>
      </c>
      <c r="K139" s="38" t="str">
        <f>IF(Sheet1!M141&lt;2.5,"r","a")</f>
        <v>r</v>
      </c>
      <c r="L139" s="38" t="str">
        <f>IF(Sheet1!J141&lt;12.5,"r","a")</f>
        <v>r</v>
      </c>
    </row>
    <row r="140" spans="1:12" ht="15.75" customHeight="1" x14ac:dyDescent="0.3">
      <c r="A140" s="37">
        <v>138</v>
      </c>
      <c r="B140" s="37">
        <f>Sheet1!A142</f>
        <v>0</v>
      </c>
      <c r="C140" s="38" t="str">
        <f>IF(Sheet1!C142&lt;50,"r","a")</f>
        <v>r</v>
      </c>
      <c r="D140" s="38" t="str">
        <f>IF(Sheet1!G142&lt;20,"r","a")</f>
        <v>r</v>
      </c>
      <c r="E140" s="38" t="str">
        <f>IF(Sheet1!K142&lt;2.5,"r","a")</f>
        <v>r</v>
      </c>
      <c r="F140" s="38" t="str">
        <f>IF(Sheet1!D142&lt;55,"r","a")</f>
        <v>r</v>
      </c>
      <c r="G140" s="38" t="str">
        <f>IF(Sheet1!H142&lt;20,"r","a")</f>
        <v>r</v>
      </c>
      <c r="H140" s="38" t="str">
        <f>IF(Sheet1!L142&lt;2.5,"r","a")</f>
        <v>r</v>
      </c>
      <c r="I140" s="38" t="str">
        <f>IF(Sheet1!E142&lt;45,"r","a")</f>
        <v>r</v>
      </c>
      <c r="J140" s="38" t="str">
        <f>IF(Sheet1!I142&lt;15,"r","a")</f>
        <v>r</v>
      </c>
      <c r="K140" s="38" t="str">
        <f>IF(Sheet1!M142&lt;2.5,"r","a")</f>
        <v>r</v>
      </c>
      <c r="L140" s="38" t="str">
        <f>IF(Sheet1!J142&lt;12.5,"r","a")</f>
        <v>r</v>
      </c>
    </row>
    <row r="141" spans="1:12" ht="15.75" customHeight="1" x14ac:dyDescent="0.3">
      <c r="A141" s="37">
        <v>139</v>
      </c>
      <c r="B141" s="37">
        <f>Sheet1!A143</f>
        <v>0</v>
      </c>
      <c r="C141" s="38" t="str">
        <f>IF(Sheet1!C143&lt;50,"r","a")</f>
        <v>r</v>
      </c>
      <c r="D141" s="38" t="str">
        <f>IF(Sheet1!G143&lt;20,"r","a")</f>
        <v>r</v>
      </c>
      <c r="E141" s="38" t="str">
        <f>IF(Sheet1!K143&lt;2.5,"r","a")</f>
        <v>r</v>
      </c>
      <c r="F141" s="38" t="str">
        <f>IF(Sheet1!D143&lt;55,"r","a")</f>
        <v>r</v>
      </c>
      <c r="G141" s="38" t="str">
        <f>IF(Sheet1!H143&lt;20,"r","a")</f>
        <v>r</v>
      </c>
      <c r="H141" s="38" t="str">
        <f>IF(Sheet1!L143&lt;2.5,"r","a")</f>
        <v>r</v>
      </c>
      <c r="I141" s="38" t="str">
        <f>IF(Sheet1!E143&lt;45,"r","a")</f>
        <v>r</v>
      </c>
      <c r="J141" s="38" t="str">
        <f>IF(Sheet1!I143&lt;15,"r","a")</f>
        <v>r</v>
      </c>
      <c r="K141" s="38" t="str">
        <f>IF(Sheet1!M143&lt;2.5,"r","a")</f>
        <v>r</v>
      </c>
      <c r="L141" s="38" t="str">
        <f>IF(Sheet1!J143&lt;12.5,"r","a")</f>
        <v>r</v>
      </c>
    </row>
    <row r="142" spans="1:12" ht="15.75" customHeight="1" x14ac:dyDescent="0.3">
      <c r="A142" s="37">
        <v>140</v>
      </c>
      <c r="B142" s="37">
        <f>Sheet1!A144</f>
        <v>0</v>
      </c>
      <c r="C142" s="38" t="str">
        <f>IF(Sheet1!C144&lt;50,"r","a")</f>
        <v>r</v>
      </c>
      <c r="D142" s="38" t="str">
        <f>IF(Sheet1!G144&lt;20,"r","a")</f>
        <v>r</v>
      </c>
      <c r="E142" s="38" t="str">
        <f>IF(Sheet1!K144&lt;2.5,"r","a")</f>
        <v>r</v>
      </c>
      <c r="F142" s="38" t="str">
        <f>IF(Sheet1!D144&lt;55,"r","a")</f>
        <v>r</v>
      </c>
      <c r="G142" s="38" t="str">
        <f>IF(Sheet1!H144&lt;20,"r","a")</f>
        <v>r</v>
      </c>
      <c r="H142" s="38" t="str">
        <f>IF(Sheet1!L144&lt;2.5,"r","a")</f>
        <v>r</v>
      </c>
      <c r="I142" s="38" t="str">
        <f>IF(Sheet1!E144&lt;45,"r","a")</f>
        <v>r</v>
      </c>
      <c r="J142" s="38" t="str">
        <f>IF(Sheet1!I144&lt;15,"r","a")</f>
        <v>r</v>
      </c>
      <c r="K142" s="38" t="str">
        <f>IF(Sheet1!M144&lt;2.5,"r","a")</f>
        <v>r</v>
      </c>
      <c r="L142" s="38" t="str">
        <f>IF(Sheet1!J144&lt;12.5,"r","a")</f>
        <v>r</v>
      </c>
    </row>
    <row r="143" spans="1:12" ht="15.75" customHeight="1" x14ac:dyDescent="0.3">
      <c r="A143" s="37">
        <v>141</v>
      </c>
      <c r="B143" s="37">
        <f>Sheet1!A145</f>
        <v>0</v>
      </c>
      <c r="C143" s="38" t="str">
        <f>IF(Sheet1!C145&lt;50,"r","a")</f>
        <v>r</v>
      </c>
      <c r="D143" s="38" t="str">
        <f>IF(Sheet1!G145&lt;20,"r","a")</f>
        <v>r</v>
      </c>
      <c r="E143" s="38" t="str">
        <f>IF(Sheet1!K145&lt;2.5,"r","a")</f>
        <v>r</v>
      </c>
      <c r="F143" s="38" t="str">
        <f>IF(Sheet1!D145&lt;55,"r","a")</f>
        <v>r</v>
      </c>
      <c r="G143" s="38" t="str">
        <f>IF(Sheet1!H145&lt;20,"r","a")</f>
        <v>r</v>
      </c>
      <c r="H143" s="38" t="str">
        <f>IF(Sheet1!L145&lt;2.5,"r","a")</f>
        <v>r</v>
      </c>
      <c r="I143" s="38" t="str">
        <f>IF(Sheet1!E145&lt;45,"r","a")</f>
        <v>r</v>
      </c>
      <c r="J143" s="38" t="str">
        <f>IF(Sheet1!I145&lt;15,"r","a")</f>
        <v>r</v>
      </c>
      <c r="K143" s="38" t="str">
        <f>IF(Sheet1!M145&lt;2.5,"r","a")</f>
        <v>r</v>
      </c>
      <c r="L143" s="38" t="str">
        <f>IF(Sheet1!J145&lt;12.5,"r","a")</f>
        <v>r</v>
      </c>
    </row>
    <row r="144" spans="1:12" ht="15.75" customHeight="1" x14ac:dyDescent="0.3">
      <c r="A144" s="37">
        <v>142</v>
      </c>
      <c r="B144" s="37">
        <f>Sheet1!A146</f>
        <v>0</v>
      </c>
      <c r="C144" s="38" t="str">
        <f>IF(Sheet1!C146&lt;50,"r","a")</f>
        <v>r</v>
      </c>
      <c r="D144" s="38" t="str">
        <f>IF(Sheet1!G146&lt;20,"r","a")</f>
        <v>r</v>
      </c>
      <c r="E144" s="38" t="str">
        <f>IF(Sheet1!K146&lt;2.5,"r","a")</f>
        <v>r</v>
      </c>
      <c r="F144" s="38" t="str">
        <f>IF(Sheet1!D146&lt;55,"r","a")</f>
        <v>r</v>
      </c>
      <c r="G144" s="38" t="str">
        <f>IF(Sheet1!H146&lt;20,"r","a")</f>
        <v>r</v>
      </c>
      <c r="H144" s="38" t="str">
        <f>IF(Sheet1!L146&lt;2.5,"r","a")</f>
        <v>r</v>
      </c>
      <c r="I144" s="38" t="str">
        <f>IF(Sheet1!E146&lt;45,"r","a")</f>
        <v>r</v>
      </c>
      <c r="J144" s="38" t="str">
        <f>IF(Sheet1!I146&lt;15,"r","a")</f>
        <v>r</v>
      </c>
      <c r="K144" s="38" t="str">
        <f>IF(Sheet1!M146&lt;2.5,"r","a")</f>
        <v>r</v>
      </c>
      <c r="L144" s="38" t="str">
        <f>IF(Sheet1!J146&lt;12.5,"r","a")</f>
        <v>r</v>
      </c>
    </row>
    <row r="145" spans="1:12" ht="15.75" customHeight="1" x14ac:dyDescent="0.3">
      <c r="A145" s="37">
        <v>143</v>
      </c>
      <c r="B145" s="37">
        <f>Sheet1!A147</f>
        <v>0</v>
      </c>
      <c r="C145" s="38" t="str">
        <f>IF(Sheet1!C147&lt;50,"r","a")</f>
        <v>r</v>
      </c>
      <c r="D145" s="38" t="str">
        <f>IF(Sheet1!G147&lt;20,"r","a")</f>
        <v>r</v>
      </c>
      <c r="E145" s="38" t="str">
        <f>IF(Sheet1!K147&lt;2.5,"r","a")</f>
        <v>r</v>
      </c>
      <c r="F145" s="38" t="str">
        <f>IF(Sheet1!D147&lt;55,"r","a")</f>
        <v>r</v>
      </c>
      <c r="G145" s="38" t="str">
        <f>IF(Sheet1!H147&lt;20,"r","a")</f>
        <v>r</v>
      </c>
      <c r="H145" s="38" t="str">
        <f>IF(Sheet1!L147&lt;2.5,"r","a")</f>
        <v>r</v>
      </c>
      <c r="I145" s="38" t="str">
        <f>IF(Sheet1!E147&lt;45,"r","a")</f>
        <v>r</v>
      </c>
      <c r="J145" s="38" t="str">
        <f>IF(Sheet1!I147&lt;15,"r","a")</f>
        <v>r</v>
      </c>
      <c r="K145" s="38" t="str">
        <f>IF(Sheet1!M147&lt;2.5,"r","a")</f>
        <v>r</v>
      </c>
      <c r="L145" s="38" t="str">
        <f>IF(Sheet1!J147&lt;12.5,"r","a")</f>
        <v>r</v>
      </c>
    </row>
    <row r="146" spans="1:12" ht="15.75" customHeight="1" x14ac:dyDescent="0.3">
      <c r="A146" s="37">
        <v>144</v>
      </c>
      <c r="B146" s="37">
        <f>Sheet1!A148</f>
        <v>0</v>
      </c>
      <c r="C146" s="38" t="str">
        <f>IF(Sheet1!C148&lt;50,"r","a")</f>
        <v>r</v>
      </c>
      <c r="D146" s="38" t="str">
        <f>IF(Sheet1!G148&lt;20,"r","a")</f>
        <v>r</v>
      </c>
      <c r="E146" s="38" t="str">
        <f>IF(Sheet1!K148&lt;2.5,"r","a")</f>
        <v>r</v>
      </c>
      <c r="F146" s="38" t="str">
        <f>IF(Sheet1!D148&lt;55,"r","a")</f>
        <v>r</v>
      </c>
      <c r="G146" s="38" t="str">
        <f>IF(Sheet1!H148&lt;20,"r","a")</f>
        <v>r</v>
      </c>
      <c r="H146" s="38" t="str">
        <f>IF(Sheet1!L148&lt;2.5,"r","a")</f>
        <v>r</v>
      </c>
      <c r="I146" s="38" t="str">
        <f>IF(Sheet1!E148&lt;45,"r","a")</f>
        <v>r</v>
      </c>
      <c r="J146" s="38" t="str">
        <f>IF(Sheet1!I148&lt;15,"r","a")</f>
        <v>r</v>
      </c>
      <c r="K146" s="38" t="str">
        <f>IF(Sheet1!M148&lt;2.5,"r","a")</f>
        <v>r</v>
      </c>
      <c r="L146" s="38" t="str">
        <f>IF(Sheet1!J148&lt;12.5,"r","a")</f>
        <v>r</v>
      </c>
    </row>
    <row r="147" spans="1:12" ht="15.75" customHeight="1" x14ac:dyDescent="0.3">
      <c r="A147" s="37">
        <v>145</v>
      </c>
      <c r="B147" s="37">
        <f>Sheet1!A149</f>
        <v>0</v>
      </c>
      <c r="C147" s="38" t="str">
        <f>IF(Sheet1!C149&lt;50,"r","a")</f>
        <v>r</v>
      </c>
      <c r="D147" s="38" t="str">
        <f>IF(Sheet1!G149&lt;20,"r","a")</f>
        <v>r</v>
      </c>
      <c r="E147" s="38" t="str">
        <f>IF(Sheet1!K149&lt;2.5,"r","a")</f>
        <v>r</v>
      </c>
      <c r="F147" s="38" t="str">
        <f>IF(Sheet1!D149&lt;55,"r","a")</f>
        <v>r</v>
      </c>
      <c r="G147" s="38" t="str">
        <f>IF(Sheet1!H149&lt;20,"r","a")</f>
        <v>r</v>
      </c>
      <c r="H147" s="38" t="str">
        <f>IF(Sheet1!L149&lt;2.5,"r","a")</f>
        <v>r</v>
      </c>
      <c r="I147" s="38" t="str">
        <f>IF(Sheet1!E149&lt;45,"r","a")</f>
        <v>r</v>
      </c>
      <c r="J147" s="38" t="str">
        <f>IF(Sheet1!I149&lt;15,"r","a")</f>
        <v>r</v>
      </c>
      <c r="K147" s="38" t="str">
        <f>IF(Sheet1!M149&lt;2.5,"r","a")</f>
        <v>r</v>
      </c>
      <c r="L147" s="38" t="str">
        <f>IF(Sheet1!J149&lt;12.5,"r","a")</f>
        <v>r</v>
      </c>
    </row>
    <row r="148" spans="1:12" ht="15.75" customHeight="1" x14ac:dyDescent="0.3">
      <c r="A148" s="37">
        <v>146</v>
      </c>
      <c r="B148" s="37">
        <f>Sheet1!A150</f>
        <v>0</v>
      </c>
      <c r="C148" s="38" t="str">
        <f>IF(Sheet1!C150&lt;50,"r","a")</f>
        <v>r</v>
      </c>
      <c r="D148" s="38" t="str">
        <f>IF(Sheet1!G150&lt;20,"r","a")</f>
        <v>r</v>
      </c>
      <c r="E148" s="38" t="str">
        <f>IF(Sheet1!K150&lt;2.5,"r","a")</f>
        <v>r</v>
      </c>
      <c r="F148" s="38" t="str">
        <f>IF(Sheet1!D150&lt;55,"r","a")</f>
        <v>r</v>
      </c>
      <c r="G148" s="38" t="str">
        <f>IF(Sheet1!H150&lt;20,"r","a")</f>
        <v>r</v>
      </c>
      <c r="H148" s="38" t="str">
        <f>IF(Sheet1!L150&lt;2.5,"r","a")</f>
        <v>r</v>
      </c>
      <c r="I148" s="38" t="str">
        <f>IF(Sheet1!E150&lt;45,"r","a")</f>
        <v>r</v>
      </c>
      <c r="J148" s="38" t="str">
        <f>IF(Sheet1!I150&lt;15,"r","a")</f>
        <v>r</v>
      </c>
      <c r="K148" s="38" t="str">
        <f>IF(Sheet1!M150&lt;2.5,"r","a")</f>
        <v>r</v>
      </c>
      <c r="L148" s="38" t="str">
        <f>IF(Sheet1!J150&lt;12.5,"r","a")</f>
        <v>r</v>
      </c>
    </row>
    <row r="149" spans="1:12" ht="15.75" customHeight="1" x14ac:dyDescent="0.3">
      <c r="A149" s="37">
        <v>147</v>
      </c>
      <c r="B149" s="37">
        <f>Sheet1!A151</f>
        <v>0</v>
      </c>
      <c r="C149" s="38" t="str">
        <f>IF(Sheet1!C151&lt;50,"r","a")</f>
        <v>r</v>
      </c>
      <c r="D149" s="38" t="str">
        <f>IF(Sheet1!G151&lt;20,"r","a")</f>
        <v>r</v>
      </c>
      <c r="E149" s="38" t="str">
        <f>IF(Sheet1!K151&lt;2.5,"r","a")</f>
        <v>r</v>
      </c>
      <c r="F149" s="38" t="str">
        <f>IF(Sheet1!D151&lt;55,"r","a")</f>
        <v>r</v>
      </c>
      <c r="G149" s="38" t="str">
        <f>IF(Sheet1!H151&lt;20,"r","a")</f>
        <v>r</v>
      </c>
      <c r="H149" s="38" t="str">
        <f>IF(Sheet1!L151&lt;2.5,"r","a")</f>
        <v>r</v>
      </c>
      <c r="I149" s="38" t="str">
        <f>IF(Sheet1!E151&lt;45,"r","a")</f>
        <v>r</v>
      </c>
      <c r="J149" s="38" t="str">
        <f>IF(Sheet1!I151&lt;15,"r","a")</f>
        <v>r</v>
      </c>
      <c r="K149" s="38" t="str">
        <f>IF(Sheet1!M151&lt;2.5,"r","a")</f>
        <v>r</v>
      </c>
      <c r="L149" s="38" t="str">
        <f>IF(Sheet1!J151&lt;12.5,"r","a")</f>
        <v>r</v>
      </c>
    </row>
    <row r="150" spans="1:12" ht="15.75" customHeight="1" x14ac:dyDescent="0.3">
      <c r="A150" s="37">
        <v>148</v>
      </c>
      <c r="B150" s="37">
        <f>Sheet1!A152</f>
        <v>0</v>
      </c>
      <c r="C150" s="38" t="str">
        <f>IF(Sheet1!C152&lt;50,"r","a")</f>
        <v>r</v>
      </c>
      <c r="D150" s="38" t="str">
        <f>IF(Sheet1!G152&lt;20,"r","a")</f>
        <v>r</v>
      </c>
      <c r="E150" s="38" t="str">
        <f>IF(Sheet1!K152&lt;2.5,"r","a")</f>
        <v>r</v>
      </c>
      <c r="F150" s="38" t="str">
        <f>IF(Sheet1!D152&lt;55,"r","a")</f>
        <v>r</v>
      </c>
      <c r="G150" s="38" t="str">
        <f>IF(Sheet1!H152&lt;20,"r","a")</f>
        <v>r</v>
      </c>
      <c r="H150" s="38" t="str">
        <f>IF(Sheet1!L152&lt;2.5,"r","a")</f>
        <v>r</v>
      </c>
      <c r="I150" s="38" t="str">
        <f>IF(Sheet1!E152&lt;45,"r","a")</f>
        <v>r</v>
      </c>
      <c r="J150" s="38" t="str">
        <f>IF(Sheet1!I152&lt;15,"r","a")</f>
        <v>r</v>
      </c>
      <c r="K150" s="38" t="str">
        <f>IF(Sheet1!M152&lt;2.5,"r","a")</f>
        <v>r</v>
      </c>
      <c r="L150" s="38" t="str">
        <f>IF(Sheet1!J152&lt;12.5,"r","a")</f>
        <v>r</v>
      </c>
    </row>
    <row r="151" spans="1:12" ht="15.75" customHeight="1" x14ac:dyDescent="0.3">
      <c r="A151" s="37">
        <v>149</v>
      </c>
      <c r="B151" s="37">
        <f>Sheet1!A153</f>
        <v>0</v>
      </c>
      <c r="C151" s="38" t="str">
        <f>IF(Sheet1!C153&lt;50,"r","a")</f>
        <v>r</v>
      </c>
      <c r="D151" s="38" t="str">
        <f>IF(Sheet1!G153&lt;20,"r","a")</f>
        <v>r</v>
      </c>
      <c r="E151" s="38" t="str">
        <f>IF(Sheet1!K153&lt;2.5,"r","a")</f>
        <v>r</v>
      </c>
      <c r="F151" s="38" t="str">
        <f>IF(Sheet1!D153&lt;55,"r","a")</f>
        <v>r</v>
      </c>
      <c r="G151" s="38" t="str">
        <f>IF(Sheet1!H153&lt;20,"r","a")</f>
        <v>r</v>
      </c>
      <c r="H151" s="38" t="str">
        <f>IF(Sheet1!L153&lt;2.5,"r","a")</f>
        <v>r</v>
      </c>
      <c r="I151" s="38" t="str">
        <f>IF(Sheet1!E153&lt;45,"r","a")</f>
        <v>r</v>
      </c>
      <c r="J151" s="38" t="str">
        <f>IF(Sheet1!I153&lt;15,"r","a")</f>
        <v>r</v>
      </c>
      <c r="K151" s="38" t="str">
        <f>IF(Sheet1!M153&lt;2.5,"r","a")</f>
        <v>r</v>
      </c>
      <c r="L151" s="38" t="str">
        <f>IF(Sheet1!J153&lt;12.5,"r","a")</f>
        <v>r</v>
      </c>
    </row>
    <row r="152" spans="1:12" ht="15.75" customHeight="1" x14ac:dyDescent="0.3">
      <c r="A152" s="37">
        <v>150</v>
      </c>
      <c r="B152" s="37">
        <f>Sheet1!A154</f>
        <v>0</v>
      </c>
      <c r="C152" s="38" t="str">
        <f>IF(Sheet1!C154&lt;50,"r","a")</f>
        <v>r</v>
      </c>
      <c r="D152" s="38" t="str">
        <f>IF(Sheet1!G154&lt;20,"r","a")</f>
        <v>r</v>
      </c>
      <c r="E152" s="38" t="str">
        <f>IF(Sheet1!K154&lt;2.5,"r","a")</f>
        <v>r</v>
      </c>
      <c r="F152" s="38" t="str">
        <f>IF(Sheet1!D154&lt;55,"r","a")</f>
        <v>r</v>
      </c>
      <c r="G152" s="38" t="str">
        <f>IF(Sheet1!H154&lt;20,"r","a")</f>
        <v>r</v>
      </c>
      <c r="H152" s="38" t="str">
        <f>IF(Sheet1!L154&lt;2.5,"r","a")</f>
        <v>r</v>
      </c>
      <c r="I152" s="38" t="str">
        <f>IF(Sheet1!E154&lt;45,"r","a")</f>
        <v>r</v>
      </c>
      <c r="J152" s="38" t="str">
        <f>IF(Sheet1!I154&lt;15,"r","a")</f>
        <v>r</v>
      </c>
      <c r="K152" s="38" t="str">
        <f>IF(Sheet1!M154&lt;2.5,"r","a")</f>
        <v>r</v>
      </c>
      <c r="L152" s="38" t="str">
        <f>IF(Sheet1!J154&lt;12.5,"r","a")</f>
        <v>r</v>
      </c>
    </row>
  </sheetData>
  <mergeCells count="1">
    <mergeCell ref="A1:E1"/>
  </mergeCell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النتيجة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 Wagih Bebawy</dc:creator>
  <cp:lastModifiedBy>farid faiz</cp:lastModifiedBy>
  <cp:lastPrinted>2025-03-01T13:55:15Z</cp:lastPrinted>
  <dcterms:created xsi:type="dcterms:W3CDTF">2024-01-16T11:22:33Z</dcterms:created>
  <dcterms:modified xsi:type="dcterms:W3CDTF">2026-08-19T11:25:40Z</dcterms:modified>
</cp:coreProperties>
</file>